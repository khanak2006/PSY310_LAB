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731038c50e1671/Desktop/LAB IN PSYCHOLOGY/8. Solo Project/"/>
    </mc:Choice>
  </mc:AlternateContent>
  <xr:revisionPtr revIDLastSave="625" documentId="8_{D7D6807A-0A2D-4557-A996-2DFD28DE5559}" xr6:coauthVersionLast="47" xr6:coauthVersionMax="47" xr10:uidLastSave="{64785803-511C-45C6-B618-241EF38C38C7}"/>
  <bookViews>
    <workbookView xWindow="-108" yWindow="-108" windowWidth="23256" windowHeight="12456" activeTab="4" xr2:uid="{69E274CD-B3C4-4FB0-9011-9D95D6BB65EE}"/>
  </bookViews>
  <sheets>
    <sheet name="Participant 1 " sheetId="1" r:id="rId1"/>
    <sheet name="Participant 2 " sheetId="2" r:id="rId2"/>
    <sheet name="Participant 3" sheetId="3" r:id="rId3"/>
    <sheet name="Participant 4" sheetId="4" r:id="rId4"/>
    <sheet name="Participant 5" sheetId="5" r:id="rId5"/>
    <sheet name="Graphs " sheetId="6" r:id="rId6"/>
  </sheets>
  <definedNames>
    <definedName name="_xlnm._FilterDatabase" localSheetId="0" hidden="1">'Participant 1 '!$E$1:$H$1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5" l="1"/>
  <c r="L12" i="4"/>
  <c r="L12" i="3"/>
  <c r="L12" i="2"/>
  <c r="K12" i="1"/>
  <c r="M10" i="5"/>
  <c r="L10" i="4"/>
  <c r="L10" i="3"/>
  <c r="L10" i="2"/>
  <c r="K10" i="1"/>
  <c r="L8" i="2"/>
  <c r="K8" i="1"/>
  <c r="M8" i="5"/>
  <c r="L8" i="4"/>
  <c r="L8" i="3"/>
  <c r="N5" i="3"/>
  <c r="L7" i="3" s="1"/>
  <c r="O5" i="5"/>
  <c r="N5" i="4"/>
  <c r="L7" i="4" s="1"/>
  <c r="O5" i="2"/>
  <c r="M7" i="5"/>
  <c r="O4" i="5"/>
  <c r="N4" i="4"/>
  <c r="N4" i="3"/>
  <c r="L7" i="2"/>
  <c r="O4" i="2"/>
  <c r="K7" i="1"/>
  <c r="M5" i="5"/>
  <c r="L5" i="4"/>
  <c r="L5" i="3"/>
  <c r="L5" i="2"/>
  <c r="M4" i="5"/>
  <c r="L4" i="4"/>
  <c r="L4" i="3"/>
  <c r="L4" i="2"/>
  <c r="H103" i="4"/>
  <c r="J103" i="4" s="1"/>
  <c r="F103" i="4"/>
  <c r="E103" i="4"/>
  <c r="J103" i="3"/>
  <c r="H103" i="3"/>
  <c r="E103" i="3"/>
  <c r="H103" i="2"/>
  <c r="J103" i="2" s="1"/>
  <c r="F103" i="2"/>
  <c r="E103" i="2"/>
  <c r="J103" i="1"/>
  <c r="J103" i="5"/>
  <c r="H103" i="5"/>
  <c r="E103" i="5"/>
  <c r="K5" i="1"/>
  <c r="K4" i="1"/>
  <c r="H103" i="1"/>
  <c r="G103" i="1"/>
  <c r="F103" i="1"/>
  <c r="E103" i="1"/>
</calcChain>
</file>

<file path=xl/sharedStrings.xml><?xml version="1.0" encoding="utf-8"?>
<sst xmlns="http://schemas.openxmlformats.org/spreadsheetml/2006/main" count="1079" uniqueCount="46">
  <si>
    <t>letter</t>
  </si>
  <si>
    <t>A</t>
  </si>
  <si>
    <t>B</t>
  </si>
  <si>
    <t>C</t>
  </si>
  <si>
    <t>D</t>
  </si>
  <si>
    <t>F</t>
  </si>
  <si>
    <t>H</t>
  </si>
  <si>
    <t>J</t>
  </si>
  <si>
    <t>K</t>
  </si>
  <si>
    <t>L</t>
  </si>
  <si>
    <t>M</t>
  </si>
  <si>
    <t>P</t>
  </si>
  <si>
    <t>Q</t>
  </si>
  <si>
    <t>R</t>
  </si>
  <si>
    <t>T</t>
  </si>
  <si>
    <t>V</t>
  </si>
  <si>
    <t>W</t>
  </si>
  <si>
    <t>X</t>
  </si>
  <si>
    <t>Z</t>
  </si>
  <si>
    <t>E</t>
  </si>
  <si>
    <t>N</t>
  </si>
  <si>
    <t>S</t>
  </si>
  <si>
    <t>Y</t>
  </si>
  <si>
    <t>G</t>
  </si>
  <si>
    <t>respp.keys</t>
  </si>
  <si>
    <t>None</t>
  </si>
  <si>
    <t>space</t>
  </si>
  <si>
    <t>respp.rt</t>
  </si>
  <si>
    <t>hit</t>
  </si>
  <si>
    <t>miss</t>
  </si>
  <si>
    <t xml:space="preserve">false alarm </t>
  </si>
  <si>
    <t xml:space="preserve">correct rejection </t>
  </si>
  <si>
    <t>proportion of hits</t>
  </si>
  <si>
    <t xml:space="preserve">propotion of false alarms </t>
  </si>
  <si>
    <t xml:space="preserve">d prime </t>
  </si>
  <si>
    <t xml:space="preserve">criterion </t>
  </si>
  <si>
    <t xml:space="preserve">mean reaction time of correct responses </t>
  </si>
  <si>
    <t xml:space="preserve">accuracy % </t>
  </si>
  <si>
    <t xml:space="preserve">Participant </t>
  </si>
  <si>
    <t xml:space="preserve">Accuracy </t>
  </si>
  <si>
    <t>Participant 1</t>
  </si>
  <si>
    <t>Participant 2</t>
  </si>
  <si>
    <t>Participant 3</t>
  </si>
  <si>
    <t>Participant 4</t>
  </si>
  <si>
    <t>Participant 5</t>
  </si>
  <si>
    <t xml:space="preserve">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</si>
</sst>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'!$B$2</c:f>
              <c:strCache>
                <c:ptCount val="1"/>
                <c:pt idx="0">
                  <c:v>Accuracy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'Graphs '!$A$3:$A$7</c:f>
              <c:strCache>
                <c:ptCount val="5"/>
                <c:pt idx="0">
                  <c:v>Participant 1</c:v>
                </c:pt>
                <c:pt idx="1">
                  <c:v>Participant 2</c:v>
                </c:pt>
                <c:pt idx="2">
                  <c:v>Participant 3</c:v>
                </c:pt>
                <c:pt idx="3">
                  <c:v>Participant 4</c:v>
                </c:pt>
                <c:pt idx="4">
                  <c:v>Participant 5</c:v>
                </c:pt>
              </c:strCache>
            </c:strRef>
          </c:cat>
          <c:val>
            <c:numRef>
              <c:f>'Graphs '!$B$3:$B$7</c:f>
              <c:numCache>
                <c:formatCode>General</c:formatCode>
                <c:ptCount val="5"/>
                <c:pt idx="0">
                  <c:v>84.61</c:v>
                </c:pt>
                <c:pt idx="1">
                  <c:v>92.3</c:v>
                </c:pt>
                <c:pt idx="2">
                  <c:v>100</c:v>
                </c:pt>
                <c:pt idx="3">
                  <c:v>96.15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A-472F-A680-737804915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5801087"/>
        <c:axId val="1915801567"/>
      </c:barChart>
      <c:catAx>
        <c:axId val="191580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</a:t>
                </a:r>
                <a:r>
                  <a:rPr lang="en-IN" baseline="0"/>
                  <a:t>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801567"/>
        <c:crosses val="autoZero"/>
        <c:auto val="1"/>
        <c:lblAlgn val="ctr"/>
        <c:lblOffset val="100"/>
        <c:noMultiLvlLbl val="0"/>
      </c:catAx>
      <c:valAx>
        <c:axId val="191580156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  <a:r>
                  <a:rPr lang="en-IN" baseline="0"/>
                  <a:t> PERCENTAGE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80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REACTION</a:t>
            </a:r>
            <a:r>
              <a:rPr lang="en-US" baseline="0"/>
              <a:t> TIME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'!$B$9</c:f>
              <c:strCache>
                <c:ptCount val="1"/>
                <c:pt idx="0">
                  <c:v>RT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'Graphs '!$A$10:$A$14</c:f>
              <c:strCache>
                <c:ptCount val="5"/>
                <c:pt idx="0">
                  <c:v>Participant 1</c:v>
                </c:pt>
                <c:pt idx="1">
                  <c:v>Participant 2</c:v>
                </c:pt>
                <c:pt idx="2">
                  <c:v>Participant 3</c:v>
                </c:pt>
                <c:pt idx="3">
                  <c:v>Participant 4</c:v>
                </c:pt>
                <c:pt idx="4">
                  <c:v>Participant 5</c:v>
                </c:pt>
              </c:strCache>
            </c:strRef>
          </c:cat>
          <c:val>
            <c:numRef>
              <c:f>'Graphs '!$B$10:$B$14</c:f>
              <c:numCache>
                <c:formatCode>General</c:formatCode>
                <c:ptCount val="5"/>
                <c:pt idx="0">
                  <c:v>555.59</c:v>
                </c:pt>
                <c:pt idx="1">
                  <c:v>661.89</c:v>
                </c:pt>
                <c:pt idx="2">
                  <c:v>514.47</c:v>
                </c:pt>
                <c:pt idx="3">
                  <c:v>552.42999999999995</c:v>
                </c:pt>
                <c:pt idx="4">
                  <c:v>447.96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0-4D5D-93C5-3705D278D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573183"/>
        <c:axId val="1844584703"/>
      </c:barChart>
      <c:catAx>
        <c:axId val="184457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84703"/>
        <c:crosses val="autoZero"/>
        <c:auto val="1"/>
        <c:lblAlgn val="ctr"/>
        <c:lblOffset val="100"/>
        <c:noMultiLvlLbl val="0"/>
      </c:catAx>
      <c:valAx>
        <c:axId val="184458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(in 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7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163830</xdr:rowOff>
    </xdr:from>
    <xdr:to>
      <xdr:col>10</xdr:col>
      <xdr:colOff>373380</xdr:colOff>
      <xdr:row>18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B21281-7375-63E0-0570-D94075FA4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3</xdr:row>
      <xdr:rowOff>102870</xdr:rowOff>
    </xdr:from>
    <xdr:to>
      <xdr:col>19</xdr:col>
      <xdr:colOff>495300</xdr:colOff>
      <xdr:row>18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12FFBA-5B7F-64B0-EAE5-31F5EC05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B731-1F91-46A9-BAD6-A02672A7ECE2}">
  <dimension ref="A1:K103"/>
  <sheetViews>
    <sheetView workbookViewId="0">
      <selection activeCell="K12" sqref="K12"/>
    </sheetView>
  </sheetViews>
  <sheetFormatPr defaultRowHeight="14.4" x14ac:dyDescent="0.3"/>
  <cols>
    <col min="1" max="1" width="8.88671875" style="1"/>
    <col min="7" max="7" width="11.44140625" customWidth="1"/>
    <col min="8" max="8" width="15.33203125" customWidth="1"/>
    <col min="10" max="10" width="22.33203125" customWidth="1"/>
  </cols>
  <sheetData>
    <row r="1" spans="1:11" x14ac:dyDescent="0.3">
      <c r="A1" s="1" t="s">
        <v>0</v>
      </c>
      <c r="B1" t="s">
        <v>24</v>
      </c>
      <c r="C1" t="s">
        <v>27</v>
      </c>
      <c r="E1" t="s">
        <v>28</v>
      </c>
      <c r="F1" t="s">
        <v>29</v>
      </c>
      <c r="G1" t="s">
        <v>30</v>
      </c>
      <c r="H1" t="s">
        <v>31</v>
      </c>
    </row>
    <row r="3" spans="1:11" x14ac:dyDescent="0.3">
      <c r="A3" s="1" t="s">
        <v>1</v>
      </c>
      <c r="B3" t="s">
        <v>25</v>
      </c>
      <c r="H3">
        <v>1</v>
      </c>
    </row>
    <row r="4" spans="1:11" x14ac:dyDescent="0.3">
      <c r="A4" s="1" t="s">
        <v>2</v>
      </c>
      <c r="B4" t="s">
        <v>25</v>
      </c>
      <c r="H4">
        <v>1</v>
      </c>
      <c r="J4" t="s">
        <v>32</v>
      </c>
      <c r="K4">
        <f>E103/(E103+F103)</f>
        <v>0.84615384615384615</v>
      </c>
    </row>
    <row r="5" spans="1:11" x14ac:dyDescent="0.3">
      <c r="A5" s="1" t="s">
        <v>3</v>
      </c>
      <c r="B5" t="s">
        <v>25</v>
      </c>
      <c r="H5">
        <v>1</v>
      </c>
      <c r="J5" t="s">
        <v>33</v>
      </c>
      <c r="K5">
        <f>G103/(G103+H103)</f>
        <v>2.7027027027027029E-2</v>
      </c>
    </row>
    <row r="6" spans="1:11" x14ac:dyDescent="0.3">
      <c r="A6" s="2" t="s">
        <v>4</v>
      </c>
      <c r="B6" t="s">
        <v>25</v>
      </c>
      <c r="H6">
        <v>1</v>
      </c>
    </row>
    <row r="7" spans="1:11" x14ac:dyDescent="0.3">
      <c r="A7" s="2" t="s">
        <v>4</v>
      </c>
      <c r="B7" t="s">
        <v>25</v>
      </c>
      <c r="F7">
        <v>1</v>
      </c>
      <c r="J7" t="s">
        <v>34</v>
      </c>
      <c r="K7">
        <f>_xlfn.NORM.S.INV(K4)-_xlfn.NORM.S.INV(K5)</f>
        <v>2.9464793857501803</v>
      </c>
    </row>
    <row r="8" spans="1:11" x14ac:dyDescent="0.3">
      <c r="A8" s="1" t="s">
        <v>5</v>
      </c>
      <c r="B8" t="s">
        <v>25</v>
      </c>
      <c r="H8">
        <v>1</v>
      </c>
      <c r="J8" t="s">
        <v>35</v>
      </c>
      <c r="K8">
        <f>-0.5 * (_xlfn.NORM.S.INV(K4) + _xlfn.NORM.S.INV(K5))</f>
        <v>0.4531634600888913</v>
      </c>
    </row>
    <row r="9" spans="1:11" x14ac:dyDescent="0.3">
      <c r="A9" s="1" t="s">
        <v>6</v>
      </c>
      <c r="B9" t="s">
        <v>25</v>
      </c>
      <c r="H9">
        <v>1</v>
      </c>
    </row>
    <row r="10" spans="1:11" ht="28.8" x14ac:dyDescent="0.3">
      <c r="A10" s="1" t="s">
        <v>7</v>
      </c>
      <c r="B10" t="s">
        <v>25</v>
      </c>
      <c r="H10">
        <v>1</v>
      </c>
      <c r="J10" s="3" t="s">
        <v>36</v>
      </c>
      <c r="K10">
        <f>AVERAGE(C12,C15,C19,C23,C36,C40,C43,C51,C54,C58,C61,C64,C68,C71,C75,C79,C83,C87,C90,C94,C97,C102)</f>
        <v>0.55559231364168127</v>
      </c>
    </row>
    <row r="11" spans="1:11" x14ac:dyDescent="0.3">
      <c r="A11" s="2" t="s">
        <v>8</v>
      </c>
      <c r="B11" t="s">
        <v>25</v>
      </c>
      <c r="H11">
        <v>1</v>
      </c>
    </row>
    <row r="12" spans="1:11" x14ac:dyDescent="0.3">
      <c r="A12" s="2" t="s">
        <v>8</v>
      </c>
      <c r="B12" t="s">
        <v>26</v>
      </c>
      <c r="C12">
        <v>0.88418310019187596</v>
      </c>
      <c r="E12">
        <v>1</v>
      </c>
      <c r="J12" t="s">
        <v>37</v>
      </c>
      <c r="K12">
        <f>(E103/26)*100</f>
        <v>84.615384615384613</v>
      </c>
    </row>
    <row r="13" spans="1:11" x14ac:dyDescent="0.3">
      <c r="A13" s="1" t="s">
        <v>9</v>
      </c>
      <c r="B13" t="s">
        <v>25</v>
      </c>
      <c r="H13">
        <v>1</v>
      </c>
    </row>
    <row r="14" spans="1:11" x14ac:dyDescent="0.3">
      <c r="A14" s="2" t="s">
        <v>10</v>
      </c>
      <c r="B14" t="s">
        <v>25</v>
      </c>
      <c r="H14">
        <v>1</v>
      </c>
    </row>
    <row r="15" spans="1:11" x14ac:dyDescent="0.3">
      <c r="A15" s="2" t="s">
        <v>10</v>
      </c>
      <c r="B15" t="s">
        <v>26</v>
      </c>
      <c r="C15">
        <v>0.50139259989373297</v>
      </c>
      <c r="E15">
        <v>1</v>
      </c>
    </row>
    <row r="16" spans="1:11" x14ac:dyDescent="0.3">
      <c r="A16" s="1" t="s">
        <v>11</v>
      </c>
      <c r="B16" t="s">
        <v>25</v>
      </c>
      <c r="H16">
        <v>1</v>
      </c>
    </row>
    <row r="17" spans="1:8" x14ac:dyDescent="0.3">
      <c r="A17" s="1" t="s">
        <v>12</v>
      </c>
      <c r="B17" t="s">
        <v>25</v>
      </c>
      <c r="H17">
        <v>1</v>
      </c>
    </row>
    <row r="18" spans="1:8" x14ac:dyDescent="0.3">
      <c r="A18" s="2" t="s">
        <v>13</v>
      </c>
      <c r="B18" t="s">
        <v>25</v>
      </c>
      <c r="H18">
        <v>1</v>
      </c>
    </row>
    <row r="19" spans="1:8" x14ac:dyDescent="0.3">
      <c r="A19" s="2" t="s">
        <v>13</v>
      </c>
      <c r="B19" t="s">
        <v>26</v>
      </c>
      <c r="C19">
        <v>0.40023409994318998</v>
      </c>
      <c r="E19">
        <v>1</v>
      </c>
    </row>
    <row r="20" spans="1:8" x14ac:dyDescent="0.3">
      <c r="A20" s="1" t="s">
        <v>14</v>
      </c>
      <c r="B20" t="s">
        <v>25</v>
      </c>
      <c r="H20">
        <v>1</v>
      </c>
    </row>
    <row r="21" spans="1:8" x14ac:dyDescent="0.3">
      <c r="A21" s="1" t="s">
        <v>15</v>
      </c>
      <c r="B21" t="s">
        <v>25</v>
      </c>
      <c r="H21">
        <v>1</v>
      </c>
    </row>
    <row r="22" spans="1:8" x14ac:dyDescent="0.3">
      <c r="A22" s="2" t="s">
        <v>16</v>
      </c>
      <c r="B22" t="s">
        <v>25</v>
      </c>
      <c r="H22">
        <v>1</v>
      </c>
    </row>
    <row r="23" spans="1:8" x14ac:dyDescent="0.3">
      <c r="A23" s="2" t="s">
        <v>16</v>
      </c>
      <c r="B23" t="s">
        <v>26</v>
      </c>
      <c r="C23">
        <v>0.46168949990533198</v>
      </c>
      <c r="E23">
        <v>1</v>
      </c>
    </row>
    <row r="24" spans="1:8" x14ac:dyDescent="0.3">
      <c r="A24" s="1" t="s">
        <v>17</v>
      </c>
      <c r="B24" t="s">
        <v>25</v>
      </c>
      <c r="H24">
        <v>1</v>
      </c>
    </row>
    <row r="25" spans="1:8" x14ac:dyDescent="0.3">
      <c r="A25" s="1" t="s">
        <v>18</v>
      </c>
      <c r="B25" t="s">
        <v>26</v>
      </c>
      <c r="C25">
        <v>1.08803300000727</v>
      </c>
      <c r="G25">
        <v>1</v>
      </c>
    </row>
    <row r="26" spans="1:8" x14ac:dyDescent="0.3">
      <c r="A26" s="2" t="s">
        <v>1</v>
      </c>
      <c r="B26" t="s">
        <v>25</v>
      </c>
      <c r="H26">
        <v>1</v>
      </c>
    </row>
    <row r="27" spans="1:8" x14ac:dyDescent="0.3">
      <c r="A27" s="2" t="s">
        <v>1</v>
      </c>
      <c r="B27" t="s">
        <v>25</v>
      </c>
      <c r="F27">
        <v>1</v>
      </c>
    </row>
    <row r="28" spans="1:8" x14ac:dyDescent="0.3">
      <c r="A28" s="1" t="s">
        <v>3</v>
      </c>
      <c r="B28" t="s">
        <v>25</v>
      </c>
      <c r="H28">
        <v>1</v>
      </c>
    </row>
    <row r="29" spans="1:8" x14ac:dyDescent="0.3">
      <c r="A29" s="1" t="s">
        <v>4</v>
      </c>
      <c r="B29" t="s">
        <v>25</v>
      </c>
      <c r="H29">
        <v>1</v>
      </c>
    </row>
    <row r="30" spans="1:8" x14ac:dyDescent="0.3">
      <c r="A30" s="1" t="s">
        <v>19</v>
      </c>
      <c r="B30" t="s">
        <v>25</v>
      </c>
      <c r="H30">
        <v>1</v>
      </c>
    </row>
    <row r="31" spans="1:8" x14ac:dyDescent="0.3">
      <c r="A31" s="2" t="s">
        <v>5</v>
      </c>
      <c r="B31" t="s">
        <v>25</v>
      </c>
      <c r="H31">
        <v>1</v>
      </c>
    </row>
    <row r="32" spans="1:8" x14ac:dyDescent="0.3">
      <c r="A32" s="2" t="s">
        <v>5</v>
      </c>
      <c r="B32" t="s">
        <v>25</v>
      </c>
      <c r="F32">
        <v>1</v>
      </c>
    </row>
    <row r="33" spans="1:8" x14ac:dyDescent="0.3">
      <c r="A33" s="1" t="s">
        <v>6</v>
      </c>
      <c r="B33" t="s">
        <v>25</v>
      </c>
      <c r="H33">
        <v>1</v>
      </c>
    </row>
    <row r="34" spans="1:8" x14ac:dyDescent="0.3">
      <c r="A34" s="1" t="s">
        <v>7</v>
      </c>
      <c r="B34" t="s">
        <v>25</v>
      </c>
      <c r="H34">
        <v>1</v>
      </c>
    </row>
    <row r="35" spans="1:8" x14ac:dyDescent="0.3">
      <c r="A35" s="2" t="s">
        <v>9</v>
      </c>
      <c r="B35" t="s">
        <v>25</v>
      </c>
      <c r="H35">
        <v>1</v>
      </c>
    </row>
    <row r="36" spans="1:8" x14ac:dyDescent="0.3">
      <c r="A36" s="2" t="s">
        <v>9</v>
      </c>
      <c r="B36" t="s">
        <v>26</v>
      </c>
      <c r="C36">
        <v>0.35453669982962299</v>
      </c>
      <c r="E36">
        <v>1</v>
      </c>
    </row>
    <row r="37" spans="1:8" x14ac:dyDescent="0.3">
      <c r="A37" s="1" t="s">
        <v>20</v>
      </c>
      <c r="B37" t="s">
        <v>25</v>
      </c>
      <c r="H37">
        <v>1</v>
      </c>
    </row>
    <row r="38" spans="1:8" x14ac:dyDescent="0.3">
      <c r="A38" s="1" t="s">
        <v>11</v>
      </c>
      <c r="B38" t="s">
        <v>25</v>
      </c>
      <c r="H38">
        <v>1</v>
      </c>
    </row>
    <row r="39" spans="1:8" x14ac:dyDescent="0.3">
      <c r="A39" s="2" t="s">
        <v>12</v>
      </c>
      <c r="B39" t="s">
        <v>25</v>
      </c>
      <c r="H39">
        <v>1</v>
      </c>
    </row>
    <row r="40" spans="1:8" x14ac:dyDescent="0.3">
      <c r="A40" s="2" t="s">
        <v>12</v>
      </c>
      <c r="B40" t="s">
        <v>26</v>
      </c>
      <c r="C40">
        <v>0.52070140000432696</v>
      </c>
      <c r="E40">
        <v>1</v>
      </c>
    </row>
    <row r="41" spans="1:8" x14ac:dyDescent="0.3">
      <c r="A41" s="1" t="s">
        <v>21</v>
      </c>
      <c r="B41" t="s">
        <v>25</v>
      </c>
      <c r="H41">
        <v>1</v>
      </c>
    </row>
    <row r="42" spans="1:8" x14ac:dyDescent="0.3">
      <c r="A42" s="2" t="s">
        <v>14</v>
      </c>
      <c r="B42" t="s">
        <v>25</v>
      </c>
      <c r="H42">
        <v>1</v>
      </c>
    </row>
    <row r="43" spans="1:8" x14ac:dyDescent="0.3">
      <c r="A43" s="2" t="s">
        <v>14</v>
      </c>
      <c r="B43" t="s">
        <v>26</v>
      </c>
      <c r="C43">
        <v>0.66644689999520701</v>
      </c>
      <c r="E43">
        <v>1</v>
      </c>
    </row>
    <row r="44" spans="1:8" x14ac:dyDescent="0.3">
      <c r="A44" s="1" t="s">
        <v>15</v>
      </c>
      <c r="B44" t="s">
        <v>25</v>
      </c>
      <c r="H44">
        <v>1</v>
      </c>
    </row>
    <row r="45" spans="1:8" x14ac:dyDescent="0.3">
      <c r="A45" s="1" t="s">
        <v>16</v>
      </c>
      <c r="B45" t="s">
        <v>25</v>
      </c>
      <c r="H45">
        <v>1</v>
      </c>
    </row>
    <row r="46" spans="1:8" x14ac:dyDescent="0.3">
      <c r="A46" s="2" t="s">
        <v>22</v>
      </c>
      <c r="B46" t="s">
        <v>25</v>
      </c>
      <c r="H46">
        <v>1</v>
      </c>
    </row>
    <row r="47" spans="1:8" x14ac:dyDescent="0.3">
      <c r="A47" s="2" t="s">
        <v>22</v>
      </c>
      <c r="B47" t="s">
        <v>25</v>
      </c>
      <c r="F47">
        <v>1</v>
      </c>
    </row>
    <row r="48" spans="1:8" x14ac:dyDescent="0.3">
      <c r="A48" s="1" t="s">
        <v>18</v>
      </c>
      <c r="B48" t="s">
        <v>25</v>
      </c>
      <c r="H48">
        <v>1</v>
      </c>
    </row>
    <row r="49" spans="1:8" x14ac:dyDescent="0.3">
      <c r="A49" s="1" t="s">
        <v>2</v>
      </c>
      <c r="B49" t="s">
        <v>25</v>
      </c>
      <c r="H49">
        <v>1</v>
      </c>
    </row>
    <row r="50" spans="1:8" x14ac:dyDescent="0.3">
      <c r="A50" s="2" t="s">
        <v>4</v>
      </c>
      <c r="B50" t="s">
        <v>25</v>
      </c>
      <c r="H50">
        <v>1</v>
      </c>
    </row>
    <row r="51" spans="1:8" x14ac:dyDescent="0.3">
      <c r="A51" s="2" t="s">
        <v>4</v>
      </c>
      <c r="B51" t="s">
        <v>26</v>
      </c>
      <c r="C51">
        <v>0.41820190008729602</v>
      </c>
      <c r="E51">
        <v>1</v>
      </c>
    </row>
    <row r="52" spans="1:8" x14ac:dyDescent="0.3">
      <c r="A52" s="1" t="s">
        <v>5</v>
      </c>
      <c r="B52" t="s">
        <v>25</v>
      </c>
      <c r="H52">
        <v>1</v>
      </c>
    </row>
    <row r="53" spans="1:8" x14ac:dyDescent="0.3">
      <c r="A53" s="2" t="s">
        <v>23</v>
      </c>
      <c r="B53" t="s">
        <v>25</v>
      </c>
      <c r="H53">
        <v>1</v>
      </c>
    </row>
    <row r="54" spans="1:8" x14ac:dyDescent="0.3">
      <c r="A54" s="2" t="s">
        <v>23</v>
      </c>
      <c r="B54" t="s">
        <v>26</v>
      </c>
      <c r="C54">
        <v>0.38333520013839001</v>
      </c>
      <c r="E54">
        <v>1</v>
      </c>
    </row>
    <row r="55" spans="1:8" x14ac:dyDescent="0.3">
      <c r="A55" s="1" t="s">
        <v>6</v>
      </c>
      <c r="B55" t="s">
        <v>25</v>
      </c>
      <c r="H55">
        <v>1</v>
      </c>
    </row>
    <row r="56" spans="1:8" x14ac:dyDescent="0.3">
      <c r="A56" s="1" t="s">
        <v>7</v>
      </c>
      <c r="B56" t="s">
        <v>25</v>
      </c>
      <c r="H56">
        <v>1</v>
      </c>
    </row>
    <row r="57" spans="1:8" x14ac:dyDescent="0.3">
      <c r="A57" s="2" t="s">
        <v>8</v>
      </c>
      <c r="B57" t="s">
        <v>25</v>
      </c>
      <c r="H57">
        <v>1</v>
      </c>
    </row>
    <row r="58" spans="1:8" x14ac:dyDescent="0.3">
      <c r="A58" s="2" t="s">
        <v>8</v>
      </c>
      <c r="B58" t="s">
        <v>26</v>
      </c>
      <c r="C58">
        <v>0.47163229994475803</v>
      </c>
      <c r="E58">
        <v>1</v>
      </c>
    </row>
    <row r="59" spans="1:8" x14ac:dyDescent="0.3">
      <c r="A59" s="1" t="s">
        <v>10</v>
      </c>
      <c r="B59" t="s">
        <v>25</v>
      </c>
      <c r="H59">
        <v>1</v>
      </c>
    </row>
    <row r="60" spans="1:8" x14ac:dyDescent="0.3">
      <c r="A60" s="2" t="s">
        <v>20</v>
      </c>
      <c r="B60" t="s">
        <v>25</v>
      </c>
      <c r="H60">
        <v>1</v>
      </c>
    </row>
    <row r="61" spans="1:8" x14ac:dyDescent="0.3">
      <c r="A61" s="2" t="s">
        <v>20</v>
      </c>
      <c r="B61" t="s">
        <v>26</v>
      </c>
      <c r="C61">
        <v>0.41377290012314899</v>
      </c>
      <c r="E61">
        <v>1</v>
      </c>
    </row>
    <row r="62" spans="1:8" x14ac:dyDescent="0.3">
      <c r="A62" s="1" t="s">
        <v>11</v>
      </c>
      <c r="B62" t="s">
        <v>25</v>
      </c>
      <c r="H62">
        <v>1</v>
      </c>
    </row>
    <row r="63" spans="1:8" x14ac:dyDescent="0.3">
      <c r="A63" s="2" t="s">
        <v>13</v>
      </c>
      <c r="B63" t="s">
        <v>25</v>
      </c>
      <c r="H63">
        <v>1</v>
      </c>
    </row>
    <row r="64" spans="1:8" x14ac:dyDescent="0.3">
      <c r="A64" s="2" t="s">
        <v>13</v>
      </c>
      <c r="B64" t="s">
        <v>26</v>
      </c>
      <c r="C64">
        <v>0.45925879990682</v>
      </c>
      <c r="E64">
        <v>1</v>
      </c>
    </row>
    <row r="65" spans="1:8" x14ac:dyDescent="0.3">
      <c r="A65" s="1" t="s">
        <v>21</v>
      </c>
      <c r="B65" t="s">
        <v>25</v>
      </c>
      <c r="H65">
        <v>1</v>
      </c>
    </row>
    <row r="66" spans="1:8" x14ac:dyDescent="0.3">
      <c r="A66" s="1" t="s">
        <v>14</v>
      </c>
      <c r="B66" t="s">
        <v>25</v>
      </c>
      <c r="H66">
        <v>1</v>
      </c>
    </row>
    <row r="67" spans="1:8" x14ac:dyDescent="0.3">
      <c r="A67" s="2" t="s">
        <v>15</v>
      </c>
      <c r="B67" t="s">
        <v>25</v>
      </c>
      <c r="H67">
        <v>1</v>
      </c>
    </row>
    <row r="68" spans="1:8" x14ac:dyDescent="0.3">
      <c r="A68" s="2" t="s">
        <v>15</v>
      </c>
      <c r="B68" t="s">
        <v>26</v>
      </c>
      <c r="C68">
        <v>0.43151149991899701</v>
      </c>
      <c r="E68">
        <v>1</v>
      </c>
    </row>
    <row r="69" spans="1:8" x14ac:dyDescent="0.3">
      <c r="A69" s="1" t="s">
        <v>17</v>
      </c>
      <c r="B69" t="s">
        <v>25</v>
      </c>
      <c r="H69">
        <v>1</v>
      </c>
    </row>
    <row r="70" spans="1:8" x14ac:dyDescent="0.3">
      <c r="A70" s="2" t="s">
        <v>22</v>
      </c>
      <c r="B70" t="s">
        <v>25</v>
      </c>
      <c r="H70">
        <v>1</v>
      </c>
    </row>
    <row r="71" spans="1:8" x14ac:dyDescent="0.3">
      <c r="A71" s="2" t="s">
        <v>22</v>
      </c>
      <c r="B71" t="s">
        <v>26</v>
      </c>
      <c r="C71">
        <v>0.59817090001888495</v>
      </c>
      <c r="E71">
        <v>1</v>
      </c>
    </row>
    <row r="72" spans="1:8" x14ac:dyDescent="0.3">
      <c r="A72" s="1" t="s">
        <v>18</v>
      </c>
      <c r="B72" t="s">
        <v>25</v>
      </c>
      <c r="H72">
        <v>1</v>
      </c>
    </row>
    <row r="73" spans="1:8" x14ac:dyDescent="0.3">
      <c r="A73" s="1" t="s">
        <v>1</v>
      </c>
      <c r="B73" t="s">
        <v>25</v>
      </c>
      <c r="H73">
        <v>1</v>
      </c>
    </row>
    <row r="74" spans="1:8" x14ac:dyDescent="0.3">
      <c r="A74" s="2" t="s">
        <v>3</v>
      </c>
      <c r="B74" t="s">
        <v>25</v>
      </c>
      <c r="H74">
        <v>1</v>
      </c>
    </row>
    <row r="75" spans="1:8" x14ac:dyDescent="0.3">
      <c r="A75" s="2" t="s">
        <v>3</v>
      </c>
      <c r="B75" t="s">
        <v>26</v>
      </c>
      <c r="C75">
        <v>1.23767790012061</v>
      </c>
      <c r="E75">
        <v>1</v>
      </c>
    </row>
    <row r="76" spans="1:8" x14ac:dyDescent="0.3">
      <c r="A76" s="1" t="s">
        <v>19</v>
      </c>
      <c r="B76" t="s">
        <v>25</v>
      </c>
      <c r="H76">
        <v>1</v>
      </c>
    </row>
    <row r="77" spans="1:8" x14ac:dyDescent="0.3">
      <c r="A77" s="1" t="s">
        <v>5</v>
      </c>
      <c r="B77" t="s">
        <v>25</v>
      </c>
      <c r="H77">
        <v>1</v>
      </c>
    </row>
    <row r="78" spans="1:8" x14ac:dyDescent="0.3">
      <c r="A78" s="2" t="s">
        <v>6</v>
      </c>
      <c r="B78" t="s">
        <v>25</v>
      </c>
      <c r="H78">
        <v>1</v>
      </c>
    </row>
    <row r="79" spans="1:8" x14ac:dyDescent="0.3">
      <c r="A79" s="2" t="s">
        <v>6</v>
      </c>
      <c r="B79" t="s">
        <v>26</v>
      </c>
      <c r="C79">
        <v>0.39136280003003698</v>
      </c>
      <c r="E79">
        <v>1</v>
      </c>
    </row>
    <row r="80" spans="1:8" x14ac:dyDescent="0.3">
      <c r="A80" s="1" t="s">
        <v>7</v>
      </c>
      <c r="B80" t="s">
        <v>25</v>
      </c>
      <c r="H80">
        <v>1</v>
      </c>
    </row>
    <row r="81" spans="1:8" x14ac:dyDescent="0.3">
      <c r="A81" s="1" t="s">
        <v>8</v>
      </c>
      <c r="B81" t="s">
        <v>25</v>
      </c>
      <c r="H81">
        <v>1</v>
      </c>
    </row>
    <row r="82" spans="1:8" x14ac:dyDescent="0.3">
      <c r="A82" s="2" t="s">
        <v>10</v>
      </c>
      <c r="B82" t="s">
        <v>25</v>
      </c>
      <c r="H82">
        <v>1</v>
      </c>
    </row>
    <row r="83" spans="1:8" x14ac:dyDescent="0.3">
      <c r="A83" s="2" t="s">
        <v>10</v>
      </c>
      <c r="B83" t="s">
        <v>26</v>
      </c>
      <c r="C83">
        <v>0.47032950003631402</v>
      </c>
      <c r="E83">
        <v>1</v>
      </c>
    </row>
    <row r="84" spans="1:8" x14ac:dyDescent="0.3">
      <c r="A84" s="1" t="s">
        <v>20</v>
      </c>
      <c r="B84" t="s">
        <v>25</v>
      </c>
      <c r="H84">
        <v>1</v>
      </c>
    </row>
    <row r="85" spans="1:8" x14ac:dyDescent="0.3">
      <c r="A85" s="1" t="s">
        <v>11</v>
      </c>
      <c r="B85" t="s">
        <v>25</v>
      </c>
      <c r="H85">
        <v>1</v>
      </c>
    </row>
    <row r="86" spans="1:8" x14ac:dyDescent="0.3">
      <c r="A86" s="2" t="s">
        <v>12</v>
      </c>
      <c r="B86" t="s">
        <v>25</v>
      </c>
      <c r="H86">
        <v>1</v>
      </c>
    </row>
    <row r="87" spans="1:8" x14ac:dyDescent="0.3">
      <c r="A87" s="2" t="s">
        <v>12</v>
      </c>
      <c r="B87" t="s">
        <v>26</v>
      </c>
      <c r="C87">
        <v>0.48925399989821</v>
      </c>
      <c r="E87">
        <v>1</v>
      </c>
    </row>
    <row r="88" spans="1:8" x14ac:dyDescent="0.3">
      <c r="A88" s="1" t="s">
        <v>13</v>
      </c>
      <c r="B88" t="s">
        <v>25</v>
      </c>
      <c r="H88">
        <v>1</v>
      </c>
    </row>
    <row r="89" spans="1:8" x14ac:dyDescent="0.3">
      <c r="A89" s="2" t="s">
        <v>14</v>
      </c>
      <c r="B89" t="s">
        <v>25</v>
      </c>
      <c r="H89">
        <v>1</v>
      </c>
    </row>
    <row r="90" spans="1:8" x14ac:dyDescent="0.3">
      <c r="A90" s="2" t="s">
        <v>14</v>
      </c>
      <c r="B90" t="s">
        <v>26</v>
      </c>
      <c r="C90">
        <v>0.49489279999397601</v>
      </c>
      <c r="E90">
        <v>1</v>
      </c>
    </row>
    <row r="91" spans="1:8" x14ac:dyDescent="0.3">
      <c r="A91" s="1" t="s">
        <v>15</v>
      </c>
      <c r="B91" t="s">
        <v>25</v>
      </c>
      <c r="H91">
        <v>1</v>
      </c>
    </row>
    <row r="92" spans="1:8" x14ac:dyDescent="0.3">
      <c r="A92" s="1" t="s">
        <v>16</v>
      </c>
      <c r="B92" t="s">
        <v>25</v>
      </c>
      <c r="H92">
        <v>1</v>
      </c>
    </row>
    <row r="93" spans="1:8" x14ac:dyDescent="0.3">
      <c r="A93" s="2" t="s">
        <v>17</v>
      </c>
      <c r="B93" t="s">
        <v>25</v>
      </c>
      <c r="H93">
        <v>1</v>
      </c>
    </row>
    <row r="94" spans="1:8" x14ac:dyDescent="0.3">
      <c r="A94" s="2" t="s">
        <v>17</v>
      </c>
      <c r="B94" t="s">
        <v>26</v>
      </c>
      <c r="C94">
        <v>0.62503220001235604</v>
      </c>
      <c r="E94">
        <v>1</v>
      </c>
    </row>
    <row r="95" spans="1:8" x14ac:dyDescent="0.3">
      <c r="A95" s="1" t="s">
        <v>18</v>
      </c>
      <c r="B95" t="s">
        <v>25</v>
      </c>
      <c r="H95">
        <v>1</v>
      </c>
    </row>
    <row r="96" spans="1:8" x14ac:dyDescent="0.3">
      <c r="A96" s="1" t="s">
        <v>1</v>
      </c>
      <c r="B96" t="s">
        <v>25</v>
      </c>
      <c r="H96">
        <v>1</v>
      </c>
    </row>
    <row r="97" spans="1:10" x14ac:dyDescent="0.3">
      <c r="A97" s="2" t="s">
        <v>2</v>
      </c>
      <c r="B97" t="s">
        <v>26</v>
      </c>
      <c r="C97">
        <v>1.0149889001622701</v>
      </c>
      <c r="E97">
        <v>1</v>
      </c>
    </row>
    <row r="98" spans="1:10" x14ac:dyDescent="0.3">
      <c r="A98" s="2" t="s">
        <v>2</v>
      </c>
      <c r="B98" t="s">
        <v>25</v>
      </c>
      <c r="H98">
        <v>1</v>
      </c>
    </row>
    <row r="99" spans="1:10" x14ac:dyDescent="0.3">
      <c r="A99" s="1" t="s">
        <v>4</v>
      </c>
      <c r="B99" t="s">
        <v>25</v>
      </c>
      <c r="H99">
        <v>1</v>
      </c>
    </row>
    <row r="100" spans="1:10" x14ac:dyDescent="0.3">
      <c r="A100" s="1" t="s">
        <v>5</v>
      </c>
      <c r="B100" t="s">
        <v>25</v>
      </c>
      <c r="H100">
        <v>1</v>
      </c>
    </row>
    <row r="101" spans="1:10" x14ac:dyDescent="0.3">
      <c r="A101" s="2" t="s">
        <v>20</v>
      </c>
      <c r="B101" t="s">
        <v>26</v>
      </c>
      <c r="C101">
        <v>1.1492930999957001</v>
      </c>
      <c r="G101">
        <v>1</v>
      </c>
    </row>
    <row r="102" spans="1:10" x14ac:dyDescent="0.3">
      <c r="A102" s="2" t="s">
        <v>20</v>
      </c>
      <c r="B102" t="s">
        <v>26</v>
      </c>
      <c r="C102">
        <v>0.53442499996162895</v>
      </c>
      <c r="E102">
        <v>1</v>
      </c>
    </row>
    <row r="103" spans="1:10" x14ac:dyDescent="0.3">
      <c r="E103">
        <f>SUM(E2:E102)</f>
        <v>22</v>
      </c>
      <c r="F103">
        <f>SUM(F2:F100)</f>
        <v>4</v>
      </c>
      <c r="G103">
        <f>SUM(G2:G101)</f>
        <v>2</v>
      </c>
      <c r="H103">
        <f>SUM(H2:H101)</f>
        <v>72</v>
      </c>
      <c r="J103">
        <f>SUM(E103:H103)</f>
        <v>100</v>
      </c>
    </row>
  </sheetData>
  <autoFilter ref="E1:H1" xr:uid="{77F8B731-1F91-46A9-BAD6-A02672A7ECE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EA86-AAE6-4E88-BA2A-3F3D14A73D59}">
  <dimension ref="A1:O103"/>
  <sheetViews>
    <sheetView workbookViewId="0">
      <selection sqref="A1:O1048576"/>
    </sheetView>
  </sheetViews>
  <sheetFormatPr defaultRowHeight="14.4" x14ac:dyDescent="0.3"/>
  <cols>
    <col min="1" max="1" width="8.88671875" style="1"/>
    <col min="7" max="7" width="10.33203125" customWidth="1"/>
    <col min="8" max="8" width="15" customWidth="1"/>
    <col min="11" max="11" width="21.88671875" customWidth="1"/>
  </cols>
  <sheetData>
    <row r="1" spans="1:15" x14ac:dyDescent="0.3">
      <c r="A1" s="1" t="s">
        <v>0</v>
      </c>
      <c r="B1" t="s">
        <v>24</v>
      </c>
      <c r="C1" t="s">
        <v>27</v>
      </c>
      <c r="E1" t="s">
        <v>28</v>
      </c>
      <c r="F1" t="s">
        <v>29</v>
      </c>
      <c r="G1" t="s">
        <v>30</v>
      </c>
      <c r="H1" t="s">
        <v>31</v>
      </c>
    </row>
    <row r="3" spans="1:15" x14ac:dyDescent="0.3">
      <c r="A3" s="1" t="s">
        <v>1</v>
      </c>
      <c r="B3" t="s">
        <v>25</v>
      </c>
      <c r="H3">
        <v>1</v>
      </c>
    </row>
    <row r="4" spans="1:15" x14ac:dyDescent="0.3">
      <c r="A4" s="1" t="s">
        <v>2</v>
      </c>
      <c r="B4" t="s">
        <v>25</v>
      </c>
      <c r="H4">
        <v>1</v>
      </c>
      <c r="K4" t="s">
        <v>32</v>
      </c>
      <c r="L4">
        <f>E103/(E103+F103)</f>
        <v>0.92307692307692313</v>
      </c>
      <c r="O4">
        <f>(E103+0.5)/(26+1)</f>
        <v>0.90740740740740744</v>
      </c>
    </row>
    <row r="5" spans="1:15" x14ac:dyDescent="0.3">
      <c r="A5" s="1" t="s">
        <v>3</v>
      </c>
      <c r="B5" t="s">
        <v>25</v>
      </c>
      <c r="H5">
        <v>1</v>
      </c>
      <c r="K5" t="s">
        <v>33</v>
      </c>
      <c r="L5">
        <f>G103/(G103+H103)</f>
        <v>0</v>
      </c>
      <c r="O5">
        <f>(G103+0.5)/(74+1)</f>
        <v>6.6666666666666671E-3</v>
      </c>
    </row>
    <row r="6" spans="1:15" x14ac:dyDescent="0.3">
      <c r="A6" s="2" t="s">
        <v>4</v>
      </c>
      <c r="B6" t="s">
        <v>25</v>
      </c>
      <c r="H6">
        <v>1</v>
      </c>
    </row>
    <row r="7" spans="1:15" x14ac:dyDescent="0.3">
      <c r="A7" s="2" t="s">
        <v>4</v>
      </c>
      <c r="B7" t="s">
        <v>26</v>
      </c>
      <c r="C7">
        <v>0.38223069999366999</v>
      </c>
      <c r="E7">
        <v>1</v>
      </c>
      <c r="K7" t="s">
        <v>34</v>
      </c>
      <c r="L7">
        <f>_xlfn.NORM.S.INV(O4)-_xlfn.NORM.S.INV(O5)</f>
        <v>3.7996973381124617</v>
      </c>
    </row>
    <row r="8" spans="1:15" x14ac:dyDescent="0.3">
      <c r="A8" s="1" t="s">
        <v>5</v>
      </c>
      <c r="B8" t="s">
        <v>25</v>
      </c>
      <c r="H8">
        <v>1</v>
      </c>
      <c r="K8" t="s">
        <v>35</v>
      </c>
      <c r="L8">
        <f>-0.5 * (_xlfn.NORM.S.INV(O4) + _xlfn.NORM.S.INV(O5))</f>
        <v>0.57489098016325357</v>
      </c>
    </row>
    <row r="9" spans="1:15" x14ac:dyDescent="0.3">
      <c r="A9" s="1" t="s">
        <v>6</v>
      </c>
      <c r="B9" t="s">
        <v>25</v>
      </c>
      <c r="H9">
        <v>1</v>
      </c>
    </row>
    <row r="10" spans="1:15" ht="28.8" x14ac:dyDescent="0.3">
      <c r="A10" s="1" t="s">
        <v>7</v>
      </c>
      <c r="B10" t="s">
        <v>25</v>
      </c>
      <c r="H10">
        <v>1</v>
      </c>
      <c r="K10" s="3" t="s">
        <v>36</v>
      </c>
      <c r="L10">
        <f>AVERAGE(C7,C12,C15,C19,C23,C27,C32,C36,C40,C43,C47,C51,C54,C58,C61,C68,C71,C75,C79,C83,C87,C90,C98,C102)</f>
        <v>0.66188779580988821</v>
      </c>
    </row>
    <row r="11" spans="1:15" x14ac:dyDescent="0.3">
      <c r="A11" s="2" t="s">
        <v>8</v>
      </c>
      <c r="B11" t="s">
        <v>25</v>
      </c>
      <c r="H11">
        <v>1</v>
      </c>
    </row>
    <row r="12" spans="1:15" x14ac:dyDescent="0.3">
      <c r="A12" s="2" t="s">
        <v>8</v>
      </c>
      <c r="B12" t="s">
        <v>26</v>
      </c>
      <c r="C12">
        <v>0.374532399931922</v>
      </c>
      <c r="E12">
        <v>1</v>
      </c>
      <c r="K12" t="s">
        <v>37</v>
      </c>
      <c r="L12">
        <f>(E103/26)*100</f>
        <v>92.307692307692307</v>
      </c>
    </row>
    <row r="13" spans="1:15" x14ac:dyDescent="0.3">
      <c r="A13" s="1" t="s">
        <v>9</v>
      </c>
      <c r="B13" t="s">
        <v>25</v>
      </c>
      <c r="H13">
        <v>1</v>
      </c>
    </row>
    <row r="14" spans="1:15" x14ac:dyDescent="0.3">
      <c r="A14" s="2" t="s">
        <v>10</v>
      </c>
      <c r="B14" t="s">
        <v>25</v>
      </c>
      <c r="H14">
        <v>1</v>
      </c>
    </row>
    <row r="15" spans="1:15" x14ac:dyDescent="0.3">
      <c r="A15" s="2" t="s">
        <v>10</v>
      </c>
      <c r="B15" t="s">
        <v>26</v>
      </c>
      <c r="C15">
        <v>0.434955799952149</v>
      </c>
      <c r="E15">
        <v>1</v>
      </c>
    </row>
    <row r="16" spans="1:15" x14ac:dyDescent="0.3">
      <c r="A16" s="1" t="s">
        <v>11</v>
      </c>
      <c r="B16" t="s">
        <v>25</v>
      </c>
      <c r="H16">
        <v>1</v>
      </c>
    </row>
    <row r="17" spans="1:8" x14ac:dyDescent="0.3">
      <c r="A17" s="1" t="s">
        <v>12</v>
      </c>
      <c r="B17" t="s">
        <v>25</v>
      </c>
      <c r="H17">
        <v>1</v>
      </c>
    </row>
    <row r="18" spans="1:8" x14ac:dyDescent="0.3">
      <c r="A18" s="2" t="s">
        <v>13</v>
      </c>
      <c r="B18" t="s">
        <v>25</v>
      </c>
      <c r="H18">
        <v>1</v>
      </c>
    </row>
    <row r="19" spans="1:8" x14ac:dyDescent="0.3">
      <c r="A19" s="2" t="s">
        <v>13</v>
      </c>
      <c r="B19" t="s">
        <v>26</v>
      </c>
      <c r="C19">
        <v>0.409161899937316</v>
      </c>
      <c r="E19">
        <v>1</v>
      </c>
    </row>
    <row r="20" spans="1:8" x14ac:dyDescent="0.3">
      <c r="A20" s="1" t="s">
        <v>14</v>
      </c>
      <c r="B20" t="s">
        <v>25</v>
      </c>
      <c r="H20">
        <v>1</v>
      </c>
    </row>
    <row r="21" spans="1:8" x14ac:dyDescent="0.3">
      <c r="A21" s="1" t="s">
        <v>15</v>
      </c>
      <c r="B21" t="s">
        <v>25</v>
      </c>
      <c r="H21">
        <v>1</v>
      </c>
    </row>
    <row r="22" spans="1:8" x14ac:dyDescent="0.3">
      <c r="A22" s="2" t="s">
        <v>16</v>
      </c>
      <c r="B22" t="s">
        <v>25</v>
      </c>
      <c r="H22">
        <v>1</v>
      </c>
    </row>
    <row r="23" spans="1:8" x14ac:dyDescent="0.3">
      <c r="A23" s="2" t="s">
        <v>16</v>
      </c>
      <c r="B23" t="s">
        <v>26</v>
      </c>
      <c r="C23">
        <v>0.36821749992668601</v>
      </c>
      <c r="E23">
        <v>1</v>
      </c>
    </row>
    <row r="24" spans="1:8" x14ac:dyDescent="0.3">
      <c r="A24" s="1" t="s">
        <v>17</v>
      </c>
      <c r="B24" t="s">
        <v>25</v>
      </c>
      <c r="H24">
        <v>1</v>
      </c>
    </row>
    <row r="25" spans="1:8" x14ac:dyDescent="0.3">
      <c r="A25" s="1" t="s">
        <v>18</v>
      </c>
      <c r="B25" t="s">
        <v>25</v>
      </c>
      <c r="H25">
        <v>1</v>
      </c>
    </row>
    <row r="26" spans="1:8" x14ac:dyDescent="0.3">
      <c r="A26" s="2" t="s">
        <v>1</v>
      </c>
      <c r="B26" t="s">
        <v>25</v>
      </c>
      <c r="H26">
        <v>1</v>
      </c>
    </row>
    <row r="27" spans="1:8" x14ac:dyDescent="0.3">
      <c r="A27" s="2" t="s">
        <v>1</v>
      </c>
      <c r="B27" t="s">
        <v>26</v>
      </c>
      <c r="C27">
        <v>0.54108579992316597</v>
      </c>
      <c r="E27">
        <v>1</v>
      </c>
    </row>
    <row r="28" spans="1:8" x14ac:dyDescent="0.3">
      <c r="A28" s="1" t="s">
        <v>3</v>
      </c>
      <c r="B28" t="s">
        <v>25</v>
      </c>
      <c r="H28">
        <v>1</v>
      </c>
    </row>
    <row r="29" spans="1:8" x14ac:dyDescent="0.3">
      <c r="A29" s="1" t="s">
        <v>4</v>
      </c>
      <c r="B29" t="s">
        <v>25</v>
      </c>
      <c r="H29">
        <v>1</v>
      </c>
    </row>
    <row r="30" spans="1:8" x14ac:dyDescent="0.3">
      <c r="A30" s="1" t="s">
        <v>19</v>
      </c>
      <c r="B30" t="s">
        <v>25</v>
      </c>
      <c r="H30">
        <v>1</v>
      </c>
    </row>
    <row r="31" spans="1:8" x14ac:dyDescent="0.3">
      <c r="A31" s="2" t="s">
        <v>5</v>
      </c>
      <c r="B31" t="s">
        <v>25</v>
      </c>
      <c r="H31">
        <v>1</v>
      </c>
    </row>
    <row r="32" spans="1:8" x14ac:dyDescent="0.3">
      <c r="A32" s="2" t="s">
        <v>5</v>
      </c>
      <c r="B32" t="s">
        <v>26</v>
      </c>
      <c r="C32">
        <v>0.673894600011408</v>
      </c>
      <c r="E32">
        <v>1</v>
      </c>
    </row>
    <row r="33" spans="1:8" x14ac:dyDescent="0.3">
      <c r="A33" s="1" t="s">
        <v>6</v>
      </c>
      <c r="B33" t="s">
        <v>25</v>
      </c>
      <c r="H33">
        <v>1</v>
      </c>
    </row>
    <row r="34" spans="1:8" x14ac:dyDescent="0.3">
      <c r="A34" s="1" t="s">
        <v>7</v>
      </c>
      <c r="B34" t="s">
        <v>25</v>
      </c>
      <c r="H34">
        <v>1</v>
      </c>
    </row>
    <row r="35" spans="1:8" x14ac:dyDescent="0.3">
      <c r="A35" s="2" t="s">
        <v>9</v>
      </c>
      <c r="B35" t="s">
        <v>25</v>
      </c>
      <c r="H35">
        <v>1</v>
      </c>
    </row>
    <row r="36" spans="1:8" x14ac:dyDescent="0.3">
      <c r="A36" s="2" t="s">
        <v>9</v>
      </c>
      <c r="B36" t="s">
        <v>26</v>
      </c>
      <c r="C36">
        <v>0.400879899971187</v>
      </c>
      <c r="E36">
        <v>1</v>
      </c>
    </row>
    <row r="37" spans="1:8" x14ac:dyDescent="0.3">
      <c r="A37" s="1" t="s">
        <v>20</v>
      </c>
      <c r="B37" t="s">
        <v>25</v>
      </c>
      <c r="H37">
        <v>1</v>
      </c>
    </row>
    <row r="38" spans="1:8" x14ac:dyDescent="0.3">
      <c r="A38" s="1" t="s">
        <v>11</v>
      </c>
      <c r="B38" t="s">
        <v>25</v>
      </c>
      <c r="H38">
        <v>1</v>
      </c>
    </row>
    <row r="39" spans="1:8" x14ac:dyDescent="0.3">
      <c r="A39" s="2" t="s">
        <v>12</v>
      </c>
      <c r="B39" t="s">
        <v>25</v>
      </c>
      <c r="H39">
        <v>1</v>
      </c>
    </row>
    <row r="40" spans="1:8" x14ac:dyDescent="0.3">
      <c r="A40" s="2" t="s">
        <v>12</v>
      </c>
      <c r="B40" t="s">
        <v>26</v>
      </c>
      <c r="C40">
        <v>0.42952549993060501</v>
      </c>
      <c r="E40">
        <v>1</v>
      </c>
    </row>
    <row r="41" spans="1:8" x14ac:dyDescent="0.3">
      <c r="A41" s="1" t="s">
        <v>21</v>
      </c>
      <c r="B41" t="s">
        <v>25</v>
      </c>
      <c r="H41">
        <v>1</v>
      </c>
    </row>
    <row r="42" spans="1:8" x14ac:dyDescent="0.3">
      <c r="A42" s="2" t="s">
        <v>14</v>
      </c>
      <c r="B42" t="s">
        <v>25</v>
      </c>
      <c r="H42">
        <v>1</v>
      </c>
    </row>
    <row r="43" spans="1:8" x14ac:dyDescent="0.3">
      <c r="A43" s="2" t="s">
        <v>14</v>
      </c>
      <c r="B43" t="s">
        <v>26</v>
      </c>
      <c r="C43">
        <v>0.58135179989039898</v>
      </c>
      <c r="E43">
        <v>1</v>
      </c>
    </row>
    <row r="44" spans="1:8" x14ac:dyDescent="0.3">
      <c r="A44" s="1" t="s">
        <v>15</v>
      </c>
      <c r="B44" t="s">
        <v>25</v>
      </c>
      <c r="H44">
        <v>1</v>
      </c>
    </row>
    <row r="45" spans="1:8" x14ac:dyDescent="0.3">
      <c r="A45" s="1" t="s">
        <v>16</v>
      </c>
      <c r="B45" t="s">
        <v>25</v>
      </c>
      <c r="H45">
        <v>1</v>
      </c>
    </row>
    <row r="46" spans="1:8" x14ac:dyDescent="0.3">
      <c r="A46" s="2" t="s">
        <v>22</v>
      </c>
      <c r="B46" t="s">
        <v>25</v>
      </c>
      <c r="H46">
        <v>1</v>
      </c>
    </row>
    <row r="47" spans="1:8" x14ac:dyDescent="0.3">
      <c r="A47" s="2" t="s">
        <v>22</v>
      </c>
      <c r="B47" t="s">
        <v>26</v>
      </c>
      <c r="C47">
        <v>0.53720139991492</v>
      </c>
      <c r="E47">
        <v>1</v>
      </c>
    </row>
    <row r="48" spans="1:8" x14ac:dyDescent="0.3">
      <c r="A48" s="1" t="s">
        <v>18</v>
      </c>
      <c r="B48" t="s">
        <v>25</v>
      </c>
      <c r="H48">
        <v>1</v>
      </c>
    </row>
    <row r="49" spans="1:8" x14ac:dyDescent="0.3">
      <c r="A49" s="1" t="s">
        <v>2</v>
      </c>
      <c r="B49" t="s">
        <v>25</v>
      </c>
      <c r="H49">
        <v>1</v>
      </c>
    </row>
    <row r="50" spans="1:8" x14ac:dyDescent="0.3">
      <c r="A50" s="2" t="s">
        <v>4</v>
      </c>
      <c r="B50" t="s">
        <v>25</v>
      </c>
      <c r="H50">
        <v>1</v>
      </c>
    </row>
    <row r="51" spans="1:8" x14ac:dyDescent="0.3">
      <c r="A51" s="2" t="s">
        <v>4</v>
      </c>
      <c r="B51" t="s">
        <v>26</v>
      </c>
      <c r="C51">
        <v>0.60536639997735597</v>
      </c>
      <c r="E51">
        <v>1</v>
      </c>
    </row>
    <row r="52" spans="1:8" x14ac:dyDescent="0.3">
      <c r="A52" s="1" t="s">
        <v>5</v>
      </c>
      <c r="B52" t="s">
        <v>25</v>
      </c>
      <c r="H52">
        <v>1</v>
      </c>
    </row>
    <row r="53" spans="1:8" x14ac:dyDescent="0.3">
      <c r="A53" s="2" t="s">
        <v>23</v>
      </c>
      <c r="B53" t="s">
        <v>25</v>
      </c>
      <c r="H53">
        <v>1</v>
      </c>
    </row>
    <row r="54" spans="1:8" x14ac:dyDescent="0.3">
      <c r="A54" s="2" t="s">
        <v>23</v>
      </c>
      <c r="B54" t="s">
        <v>26</v>
      </c>
      <c r="C54">
        <v>1.03970149997621</v>
      </c>
      <c r="E54">
        <v>1</v>
      </c>
    </row>
    <row r="55" spans="1:8" x14ac:dyDescent="0.3">
      <c r="A55" s="1" t="s">
        <v>6</v>
      </c>
      <c r="B55" t="s">
        <v>25</v>
      </c>
      <c r="H55">
        <v>1</v>
      </c>
    </row>
    <row r="56" spans="1:8" x14ac:dyDescent="0.3">
      <c r="A56" s="1" t="s">
        <v>7</v>
      </c>
      <c r="B56" t="s">
        <v>25</v>
      </c>
      <c r="H56">
        <v>1</v>
      </c>
    </row>
    <row r="57" spans="1:8" x14ac:dyDescent="0.3">
      <c r="A57" s="2" t="s">
        <v>8</v>
      </c>
      <c r="B57" t="s">
        <v>25</v>
      </c>
      <c r="H57">
        <v>1</v>
      </c>
    </row>
    <row r="58" spans="1:8" x14ac:dyDescent="0.3">
      <c r="A58" s="2" t="s">
        <v>8</v>
      </c>
      <c r="B58" t="s">
        <v>26</v>
      </c>
      <c r="C58">
        <v>0.57660429994575602</v>
      </c>
      <c r="E58">
        <v>1</v>
      </c>
    </row>
    <row r="59" spans="1:8" x14ac:dyDescent="0.3">
      <c r="A59" s="1" t="s">
        <v>10</v>
      </c>
      <c r="B59" t="s">
        <v>25</v>
      </c>
      <c r="H59">
        <v>1</v>
      </c>
    </row>
    <row r="60" spans="1:8" x14ac:dyDescent="0.3">
      <c r="A60" s="2" t="s">
        <v>20</v>
      </c>
      <c r="B60" t="s">
        <v>25</v>
      </c>
      <c r="H60">
        <v>1</v>
      </c>
    </row>
    <row r="61" spans="1:8" x14ac:dyDescent="0.3">
      <c r="A61" s="2" t="s">
        <v>20</v>
      </c>
      <c r="B61" t="s">
        <v>26</v>
      </c>
      <c r="C61">
        <v>0.93496859981678404</v>
      </c>
      <c r="E61">
        <v>1</v>
      </c>
    </row>
    <row r="62" spans="1:8" x14ac:dyDescent="0.3">
      <c r="A62" s="1" t="s">
        <v>11</v>
      </c>
      <c r="B62" t="s">
        <v>25</v>
      </c>
      <c r="H62">
        <v>1</v>
      </c>
    </row>
    <row r="63" spans="1:8" x14ac:dyDescent="0.3">
      <c r="A63" s="2" t="s">
        <v>13</v>
      </c>
      <c r="B63" t="s">
        <v>25</v>
      </c>
      <c r="H63">
        <v>1</v>
      </c>
    </row>
    <row r="64" spans="1:8" x14ac:dyDescent="0.3">
      <c r="A64" s="2" t="s">
        <v>13</v>
      </c>
      <c r="B64" t="s">
        <v>25</v>
      </c>
      <c r="F64">
        <v>1</v>
      </c>
    </row>
    <row r="65" spans="1:8" x14ac:dyDescent="0.3">
      <c r="A65" s="1" t="s">
        <v>21</v>
      </c>
      <c r="B65" t="s">
        <v>25</v>
      </c>
      <c r="H65">
        <v>1</v>
      </c>
    </row>
    <row r="66" spans="1:8" x14ac:dyDescent="0.3">
      <c r="A66" s="1" t="s">
        <v>14</v>
      </c>
      <c r="B66" t="s">
        <v>25</v>
      </c>
      <c r="H66">
        <v>1</v>
      </c>
    </row>
    <row r="67" spans="1:8" x14ac:dyDescent="0.3">
      <c r="A67" s="2" t="s">
        <v>15</v>
      </c>
      <c r="B67" t="s">
        <v>25</v>
      </c>
      <c r="H67">
        <v>1</v>
      </c>
    </row>
    <row r="68" spans="1:8" x14ac:dyDescent="0.3">
      <c r="A68" s="2" t="s">
        <v>15</v>
      </c>
      <c r="B68" t="s">
        <v>26</v>
      </c>
      <c r="C68">
        <v>0.75914440001361005</v>
      </c>
      <c r="E68">
        <v>1</v>
      </c>
    </row>
    <row r="69" spans="1:8" x14ac:dyDescent="0.3">
      <c r="A69" s="1" t="s">
        <v>17</v>
      </c>
      <c r="B69" t="s">
        <v>25</v>
      </c>
      <c r="H69">
        <v>1</v>
      </c>
    </row>
    <row r="70" spans="1:8" x14ac:dyDescent="0.3">
      <c r="A70" s="2" t="s">
        <v>22</v>
      </c>
      <c r="B70" t="s">
        <v>25</v>
      </c>
      <c r="H70">
        <v>1</v>
      </c>
    </row>
    <row r="71" spans="1:8" x14ac:dyDescent="0.3">
      <c r="A71" s="2" t="s">
        <v>22</v>
      </c>
      <c r="B71" t="s">
        <v>26</v>
      </c>
      <c r="C71">
        <v>0.81447869981638998</v>
      </c>
      <c r="E71">
        <v>1</v>
      </c>
    </row>
    <row r="72" spans="1:8" x14ac:dyDescent="0.3">
      <c r="A72" s="1" t="s">
        <v>18</v>
      </c>
      <c r="B72" t="s">
        <v>25</v>
      </c>
      <c r="H72">
        <v>1</v>
      </c>
    </row>
    <row r="73" spans="1:8" x14ac:dyDescent="0.3">
      <c r="A73" s="1" t="s">
        <v>1</v>
      </c>
      <c r="B73" t="s">
        <v>25</v>
      </c>
      <c r="H73">
        <v>1</v>
      </c>
    </row>
    <row r="74" spans="1:8" x14ac:dyDescent="0.3">
      <c r="A74" s="2" t="s">
        <v>3</v>
      </c>
      <c r="B74" t="s">
        <v>25</v>
      </c>
      <c r="H74">
        <v>1</v>
      </c>
    </row>
    <row r="75" spans="1:8" x14ac:dyDescent="0.3">
      <c r="A75" s="2" t="s">
        <v>3</v>
      </c>
      <c r="B75" t="s">
        <v>26</v>
      </c>
      <c r="C75">
        <v>1.09234019997529</v>
      </c>
      <c r="E75">
        <v>1</v>
      </c>
    </row>
    <row r="76" spans="1:8" x14ac:dyDescent="0.3">
      <c r="A76" s="1" t="s">
        <v>19</v>
      </c>
      <c r="B76" t="s">
        <v>25</v>
      </c>
      <c r="H76">
        <v>1</v>
      </c>
    </row>
    <row r="77" spans="1:8" x14ac:dyDescent="0.3">
      <c r="A77" s="1" t="s">
        <v>5</v>
      </c>
      <c r="B77" t="s">
        <v>25</v>
      </c>
      <c r="H77">
        <v>1</v>
      </c>
    </row>
    <row r="78" spans="1:8" x14ac:dyDescent="0.3">
      <c r="A78" s="2" t="s">
        <v>6</v>
      </c>
      <c r="B78" t="s">
        <v>25</v>
      </c>
      <c r="H78">
        <v>1</v>
      </c>
    </row>
    <row r="79" spans="1:8" x14ac:dyDescent="0.3">
      <c r="A79" s="2" t="s">
        <v>6</v>
      </c>
      <c r="B79" t="s">
        <v>26</v>
      </c>
      <c r="C79">
        <v>1.35331710008904</v>
      </c>
      <c r="E79">
        <v>1</v>
      </c>
    </row>
    <row r="80" spans="1:8" x14ac:dyDescent="0.3">
      <c r="A80" s="1" t="s">
        <v>7</v>
      </c>
      <c r="B80" t="s">
        <v>25</v>
      </c>
      <c r="H80">
        <v>1</v>
      </c>
    </row>
    <row r="81" spans="1:8" x14ac:dyDescent="0.3">
      <c r="A81" s="1" t="s">
        <v>8</v>
      </c>
      <c r="B81" t="s">
        <v>25</v>
      </c>
      <c r="H81">
        <v>1</v>
      </c>
    </row>
    <row r="82" spans="1:8" x14ac:dyDescent="0.3">
      <c r="A82" s="2" t="s">
        <v>10</v>
      </c>
      <c r="B82" t="s">
        <v>25</v>
      </c>
      <c r="H82">
        <v>1</v>
      </c>
    </row>
    <row r="83" spans="1:8" x14ac:dyDescent="0.3">
      <c r="A83" s="2" t="s">
        <v>10</v>
      </c>
      <c r="B83" t="s">
        <v>26</v>
      </c>
      <c r="C83">
        <v>0.84496080013923303</v>
      </c>
      <c r="E83">
        <v>1</v>
      </c>
    </row>
    <row r="84" spans="1:8" x14ac:dyDescent="0.3">
      <c r="A84" s="1" t="s">
        <v>20</v>
      </c>
      <c r="B84" t="s">
        <v>25</v>
      </c>
      <c r="H84">
        <v>1</v>
      </c>
    </row>
    <row r="85" spans="1:8" x14ac:dyDescent="0.3">
      <c r="A85" s="1" t="s">
        <v>11</v>
      </c>
      <c r="B85" t="s">
        <v>25</v>
      </c>
      <c r="H85">
        <v>1</v>
      </c>
    </row>
    <row r="86" spans="1:8" x14ac:dyDescent="0.3">
      <c r="A86" s="2" t="s">
        <v>12</v>
      </c>
      <c r="B86" t="s">
        <v>25</v>
      </c>
      <c r="H86">
        <v>1</v>
      </c>
    </row>
    <row r="87" spans="1:8" x14ac:dyDescent="0.3">
      <c r="A87" s="2" t="s">
        <v>12</v>
      </c>
      <c r="B87" t="s">
        <v>26</v>
      </c>
      <c r="C87">
        <v>0.70756720006465901</v>
      </c>
      <c r="E87">
        <v>1</v>
      </c>
    </row>
    <row r="88" spans="1:8" x14ac:dyDescent="0.3">
      <c r="A88" s="1" t="s">
        <v>13</v>
      </c>
      <c r="B88" t="s">
        <v>25</v>
      </c>
      <c r="H88">
        <v>1</v>
      </c>
    </row>
    <row r="89" spans="1:8" x14ac:dyDescent="0.3">
      <c r="A89" s="2" t="s">
        <v>14</v>
      </c>
      <c r="B89" t="s">
        <v>25</v>
      </c>
      <c r="H89">
        <v>1</v>
      </c>
    </row>
    <row r="90" spans="1:8" x14ac:dyDescent="0.3">
      <c r="A90" s="2" t="s">
        <v>14</v>
      </c>
      <c r="B90" t="s">
        <v>26</v>
      </c>
      <c r="C90">
        <v>0.71835310012102105</v>
      </c>
      <c r="E90">
        <v>1</v>
      </c>
    </row>
    <row r="91" spans="1:8" x14ac:dyDescent="0.3">
      <c r="A91" s="1" t="s">
        <v>15</v>
      </c>
      <c r="B91" t="s">
        <v>25</v>
      </c>
      <c r="H91">
        <v>1</v>
      </c>
    </row>
    <row r="92" spans="1:8" x14ac:dyDescent="0.3">
      <c r="A92" s="1" t="s">
        <v>16</v>
      </c>
      <c r="B92" t="s">
        <v>25</v>
      </c>
      <c r="H92">
        <v>1</v>
      </c>
    </row>
    <row r="93" spans="1:8" x14ac:dyDescent="0.3">
      <c r="A93" s="2" t="s">
        <v>17</v>
      </c>
      <c r="B93" t="s">
        <v>25</v>
      </c>
      <c r="H93">
        <v>1</v>
      </c>
    </row>
    <row r="94" spans="1:8" x14ac:dyDescent="0.3">
      <c r="A94" s="2" t="s">
        <v>17</v>
      </c>
      <c r="B94" t="s">
        <v>25</v>
      </c>
      <c r="F94">
        <v>1</v>
      </c>
    </row>
    <row r="95" spans="1:8" x14ac:dyDescent="0.3">
      <c r="A95" s="1" t="s">
        <v>18</v>
      </c>
      <c r="B95" t="s">
        <v>25</v>
      </c>
      <c r="H95">
        <v>1</v>
      </c>
    </row>
    <row r="96" spans="1:8" x14ac:dyDescent="0.3">
      <c r="A96" s="1" t="s">
        <v>1</v>
      </c>
      <c r="B96" t="s">
        <v>25</v>
      </c>
      <c r="H96">
        <v>1</v>
      </c>
    </row>
    <row r="97" spans="1:10" x14ac:dyDescent="0.3">
      <c r="A97" s="2" t="s">
        <v>2</v>
      </c>
      <c r="B97" t="s">
        <v>25</v>
      </c>
      <c r="H97">
        <v>1</v>
      </c>
    </row>
    <row r="98" spans="1:10" x14ac:dyDescent="0.3">
      <c r="A98" s="2" t="s">
        <v>2</v>
      </c>
      <c r="B98" t="s">
        <v>26</v>
      </c>
      <c r="C98">
        <v>0.88925060001201905</v>
      </c>
      <c r="E98">
        <v>1</v>
      </c>
    </row>
    <row r="99" spans="1:10" x14ac:dyDescent="0.3">
      <c r="A99" s="1" t="s">
        <v>4</v>
      </c>
      <c r="B99" t="s">
        <v>25</v>
      </c>
      <c r="H99">
        <v>1</v>
      </c>
    </row>
    <row r="100" spans="1:10" x14ac:dyDescent="0.3">
      <c r="A100" s="1" t="s">
        <v>5</v>
      </c>
      <c r="B100" t="s">
        <v>25</v>
      </c>
      <c r="H100">
        <v>1</v>
      </c>
    </row>
    <row r="101" spans="1:10" x14ac:dyDescent="0.3">
      <c r="A101" s="2" t="s">
        <v>20</v>
      </c>
      <c r="B101" t="s">
        <v>25</v>
      </c>
      <c r="H101">
        <v>1</v>
      </c>
    </row>
    <row r="102" spans="1:10" x14ac:dyDescent="0.3">
      <c r="A102" s="2" t="s">
        <v>20</v>
      </c>
      <c r="B102" t="s">
        <v>26</v>
      </c>
      <c r="C102">
        <v>0.41621690010651902</v>
      </c>
      <c r="E102">
        <v>1</v>
      </c>
    </row>
    <row r="103" spans="1:10" x14ac:dyDescent="0.3">
      <c r="E103">
        <f>SUM(E2:E102)</f>
        <v>24</v>
      </c>
      <c r="F103">
        <f>SUM(F2:F101)</f>
        <v>2</v>
      </c>
      <c r="G103">
        <v>0</v>
      </c>
      <c r="H103">
        <f>SUM(H2:H101)</f>
        <v>74</v>
      </c>
      <c r="J103">
        <f>SUM(E103:H103)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B98E-F05C-4E9F-A72A-135C224B35A1}">
  <dimension ref="A1:N103"/>
  <sheetViews>
    <sheetView topLeftCell="A2" workbookViewId="0">
      <selection sqref="A1:N1048576"/>
    </sheetView>
  </sheetViews>
  <sheetFormatPr defaultRowHeight="14.4" x14ac:dyDescent="0.3"/>
  <cols>
    <col min="1" max="1" width="8.88671875" style="1"/>
    <col min="2" max="2" width="10.109375" customWidth="1"/>
    <col min="7" max="7" width="10.109375" customWidth="1"/>
    <col min="8" max="8" width="15.21875" customWidth="1"/>
    <col min="11" max="11" width="21.77734375" customWidth="1"/>
  </cols>
  <sheetData>
    <row r="1" spans="1:14" x14ac:dyDescent="0.3">
      <c r="A1" s="1" t="s">
        <v>0</v>
      </c>
      <c r="B1" t="s">
        <v>24</v>
      </c>
      <c r="C1" t="s">
        <v>27</v>
      </c>
      <c r="E1" t="s">
        <v>28</v>
      </c>
      <c r="F1" t="s">
        <v>29</v>
      </c>
      <c r="G1" t="s">
        <v>30</v>
      </c>
      <c r="H1" t="s">
        <v>31</v>
      </c>
    </row>
    <row r="3" spans="1:14" x14ac:dyDescent="0.3">
      <c r="A3" s="1" t="s">
        <v>1</v>
      </c>
      <c r="B3" t="s">
        <v>25</v>
      </c>
      <c r="H3">
        <v>1</v>
      </c>
    </row>
    <row r="4" spans="1:14" x14ac:dyDescent="0.3">
      <c r="A4" s="1" t="s">
        <v>2</v>
      </c>
      <c r="B4" t="s">
        <v>25</v>
      </c>
      <c r="H4">
        <v>1</v>
      </c>
      <c r="K4" t="s">
        <v>32</v>
      </c>
      <c r="L4">
        <f>E103/(E103+F103)</f>
        <v>1</v>
      </c>
      <c r="N4">
        <f>(E103+0.5)/(26+1)</f>
        <v>0.98148148148148151</v>
      </c>
    </row>
    <row r="5" spans="1:14" x14ac:dyDescent="0.3">
      <c r="A5" s="1" t="s">
        <v>3</v>
      </c>
      <c r="B5" t="s">
        <v>25</v>
      </c>
      <c r="H5">
        <v>1</v>
      </c>
      <c r="K5" t="s">
        <v>33</v>
      </c>
      <c r="L5">
        <f>G103/(G1036+H103)</f>
        <v>0</v>
      </c>
      <c r="N5">
        <f>(G103 + 0.5) / (74 + 1)</f>
        <v>6.6666666666666671E-3</v>
      </c>
    </row>
    <row r="6" spans="1:14" x14ac:dyDescent="0.3">
      <c r="A6" s="2" t="s">
        <v>4</v>
      </c>
      <c r="B6" t="s">
        <v>25</v>
      </c>
      <c r="H6">
        <v>1</v>
      </c>
    </row>
    <row r="7" spans="1:14" x14ac:dyDescent="0.3">
      <c r="A7" s="2" t="s">
        <v>4</v>
      </c>
      <c r="B7" t="s">
        <v>26</v>
      </c>
      <c r="C7">
        <v>0.38697570003569098</v>
      </c>
      <c r="E7">
        <v>1</v>
      </c>
      <c r="K7" t="s">
        <v>34</v>
      </c>
      <c r="L7">
        <f>_xlfn.NORM.S.INV(N4)-_xlfn.NORM.S.INV(N5)</f>
        <v>4.5600952152513141</v>
      </c>
    </row>
    <row r="8" spans="1:14" x14ac:dyDescent="0.3">
      <c r="A8" s="1" t="s">
        <v>5</v>
      </c>
      <c r="B8" t="s">
        <v>25</v>
      </c>
      <c r="H8">
        <v>1</v>
      </c>
      <c r="K8" t="s">
        <v>35</v>
      </c>
      <c r="L8">
        <f>-0.5 * (_xlfn.NORM.S.INV(N4) + _xlfn.NORM.S.INV(N5))</f>
        <v>0.19469204159382758</v>
      </c>
    </row>
    <row r="9" spans="1:14" x14ac:dyDescent="0.3">
      <c r="A9" s="1" t="s">
        <v>6</v>
      </c>
      <c r="B9" t="s">
        <v>25</v>
      </c>
      <c r="H9">
        <v>1</v>
      </c>
    </row>
    <row r="10" spans="1:14" ht="28.8" x14ac:dyDescent="0.3">
      <c r="A10" s="1" t="s">
        <v>7</v>
      </c>
      <c r="B10" t="s">
        <v>25</v>
      </c>
      <c r="H10">
        <v>1</v>
      </c>
      <c r="K10" s="3" t="s">
        <v>36</v>
      </c>
      <c r="L10">
        <f>AVERAGE(C6:C103)</f>
        <v>0.51447113462759586</v>
      </c>
    </row>
    <row r="11" spans="1:14" x14ac:dyDescent="0.3">
      <c r="A11" s="2" t="s">
        <v>8</v>
      </c>
      <c r="B11" t="s">
        <v>25</v>
      </c>
      <c r="H11">
        <v>1</v>
      </c>
    </row>
    <row r="12" spans="1:14" x14ac:dyDescent="0.3">
      <c r="A12" s="2" t="s">
        <v>8</v>
      </c>
      <c r="B12" t="s">
        <v>26</v>
      </c>
      <c r="C12">
        <v>0.34497740003280303</v>
      </c>
      <c r="E12">
        <v>1</v>
      </c>
      <c r="K12" t="s">
        <v>37</v>
      </c>
      <c r="L12">
        <f>(E103/26)*100</f>
        <v>100</v>
      </c>
    </row>
    <row r="13" spans="1:14" x14ac:dyDescent="0.3">
      <c r="A13" s="1" t="s">
        <v>9</v>
      </c>
      <c r="B13" t="s">
        <v>25</v>
      </c>
      <c r="H13">
        <v>1</v>
      </c>
    </row>
    <row r="14" spans="1:14" x14ac:dyDescent="0.3">
      <c r="A14" s="2" t="s">
        <v>10</v>
      </c>
      <c r="B14" t="s">
        <v>25</v>
      </c>
      <c r="H14">
        <v>1</v>
      </c>
    </row>
    <row r="15" spans="1:14" x14ac:dyDescent="0.3">
      <c r="A15" s="2" t="s">
        <v>10</v>
      </c>
      <c r="B15" t="s">
        <v>26</v>
      </c>
      <c r="C15">
        <v>0.97557389992289201</v>
      </c>
      <c r="E15">
        <v>1</v>
      </c>
    </row>
    <row r="16" spans="1:14" x14ac:dyDescent="0.3">
      <c r="A16" s="1" t="s">
        <v>11</v>
      </c>
      <c r="B16" t="s">
        <v>25</v>
      </c>
      <c r="H16">
        <v>1</v>
      </c>
    </row>
    <row r="17" spans="1:8" x14ac:dyDescent="0.3">
      <c r="A17" s="1" t="s">
        <v>12</v>
      </c>
      <c r="B17" t="s">
        <v>25</v>
      </c>
      <c r="H17">
        <v>1</v>
      </c>
    </row>
    <row r="18" spans="1:8" x14ac:dyDescent="0.3">
      <c r="A18" s="2" t="s">
        <v>13</v>
      </c>
      <c r="B18" t="s">
        <v>25</v>
      </c>
      <c r="H18">
        <v>1</v>
      </c>
    </row>
    <row r="19" spans="1:8" x14ac:dyDescent="0.3">
      <c r="A19" s="2" t="s">
        <v>13</v>
      </c>
      <c r="B19" t="s">
        <v>26</v>
      </c>
      <c r="C19">
        <v>0.36532919993624002</v>
      </c>
      <c r="E19">
        <v>1</v>
      </c>
    </row>
    <row r="20" spans="1:8" x14ac:dyDescent="0.3">
      <c r="A20" s="1" t="s">
        <v>14</v>
      </c>
      <c r="B20" t="s">
        <v>25</v>
      </c>
      <c r="H20">
        <v>1</v>
      </c>
    </row>
    <row r="21" spans="1:8" x14ac:dyDescent="0.3">
      <c r="A21" s="1" t="s">
        <v>15</v>
      </c>
      <c r="B21" t="s">
        <v>25</v>
      </c>
      <c r="H21">
        <v>1</v>
      </c>
    </row>
    <row r="22" spans="1:8" x14ac:dyDescent="0.3">
      <c r="A22" s="2" t="s">
        <v>16</v>
      </c>
      <c r="B22" t="s">
        <v>25</v>
      </c>
      <c r="H22">
        <v>1</v>
      </c>
    </row>
    <row r="23" spans="1:8" x14ac:dyDescent="0.3">
      <c r="A23" s="2" t="s">
        <v>16</v>
      </c>
      <c r="B23" t="s">
        <v>26</v>
      </c>
      <c r="C23">
        <v>0.44055319996550601</v>
      </c>
      <c r="E23">
        <v>1</v>
      </c>
    </row>
    <row r="24" spans="1:8" x14ac:dyDescent="0.3">
      <c r="A24" s="1" t="s">
        <v>17</v>
      </c>
      <c r="B24" t="s">
        <v>25</v>
      </c>
      <c r="H24">
        <v>1</v>
      </c>
    </row>
    <row r="25" spans="1:8" x14ac:dyDescent="0.3">
      <c r="A25" s="1" t="s">
        <v>18</v>
      </c>
      <c r="B25" t="s">
        <v>25</v>
      </c>
      <c r="H25">
        <v>1</v>
      </c>
    </row>
    <row r="26" spans="1:8" x14ac:dyDescent="0.3">
      <c r="A26" s="2" t="s">
        <v>1</v>
      </c>
      <c r="B26" t="s">
        <v>25</v>
      </c>
      <c r="H26">
        <v>1</v>
      </c>
    </row>
    <row r="27" spans="1:8" x14ac:dyDescent="0.3">
      <c r="A27" s="2" t="s">
        <v>1</v>
      </c>
      <c r="B27" t="s">
        <v>26</v>
      </c>
      <c r="C27">
        <v>0.51860300009138804</v>
      </c>
      <c r="E27">
        <v>1</v>
      </c>
    </row>
    <row r="28" spans="1:8" x14ac:dyDescent="0.3">
      <c r="A28" s="1" t="s">
        <v>3</v>
      </c>
      <c r="B28" t="s">
        <v>25</v>
      </c>
      <c r="H28">
        <v>1</v>
      </c>
    </row>
    <row r="29" spans="1:8" x14ac:dyDescent="0.3">
      <c r="A29" s="1" t="s">
        <v>4</v>
      </c>
      <c r="B29" t="s">
        <v>25</v>
      </c>
      <c r="H29">
        <v>1</v>
      </c>
    </row>
    <row r="30" spans="1:8" x14ac:dyDescent="0.3">
      <c r="A30" s="1" t="s">
        <v>19</v>
      </c>
      <c r="B30" t="s">
        <v>25</v>
      </c>
      <c r="H30">
        <v>1</v>
      </c>
    </row>
    <row r="31" spans="1:8" x14ac:dyDescent="0.3">
      <c r="A31" s="2" t="s">
        <v>5</v>
      </c>
      <c r="B31" t="s">
        <v>25</v>
      </c>
      <c r="H31">
        <v>1</v>
      </c>
    </row>
    <row r="32" spans="1:8" x14ac:dyDescent="0.3">
      <c r="A32" s="2" t="s">
        <v>5</v>
      </c>
      <c r="B32" t="s">
        <v>26</v>
      </c>
      <c r="C32">
        <v>0.36882279999554102</v>
      </c>
      <c r="E32">
        <v>1</v>
      </c>
    </row>
    <row r="33" spans="1:8" x14ac:dyDescent="0.3">
      <c r="A33" s="1" t="s">
        <v>6</v>
      </c>
      <c r="B33" t="s">
        <v>25</v>
      </c>
      <c r="H33">
        <v>1</v>
      </c>
    </row>
    <row r="34" spans="1:8" x14ac:dyDescent="0.3">
      <c r="A34" s="1" t="s">
        <v>7</v>
      </c>
      <c r="B34" t="s">
        <v>25</v>
      </c>
      <c r="H34">
        <v>1</v>
      </c>
    </row>
    <row r="35" spans="1:8" x14ac:dyDescent="0.3">
      <c r="A35" s="2" t="s">
        <v>9</v>
      </c>
      <c r="B35" t="s">
        <v>25</v>
      </c>
      <c r="H35">
        <v>1</v>
      </c>
    </row>
    <row r="36" spans="1:8" x14ac:dyDescent="0.3">
      <c r="A36" s="2" t="s">
        <v>9</v>
      </c>
      <c r="B36" t="s">
        <v>26</v>
      </c>
      <c r="C36">
        <v>0.50675949989818003</v>
      </c>
      <c r="E36">
        <v>1</v>
      </c>
    </row>
    <row r="37" spans="1:8" x14ac:dyDescent="0.3">
      <c r="A37" s="1" t="s">
        <v>20</v>
      </c>
      <c r="B37" t="s">
        <v>25</v>
      </c>
      <c r="H37">
        <v>1</v>
      </c>
    </row>
    <row r="38" spans="1:8" x14ac:dyDescent="0.3">
      <c r="A38" s="1" t="s">
        <v>11</v>
      </c>
      <c r="B38" t="s">
        <v>25</v>
      </c>
      <c r="H38">
        <v>1</v>
      </c>
    </row>
    <row r="39" spans="1:8" x14ac:dyDescent="0.3">
      <c r="A39" s="2" t="s">
        <v>12</v>
      </c>
      <c r="B39" t="s">
        <v>25</v>
      </c>
      <c r="H39">
        <v>1</v>
      </c>
    </row>
    <row r="40" spans="1:8" x14ac:dyDescent="0.3">
      <c r="A40" s="2" t="s">
        <v>12</v>
      </c>
      <c r="B40" t="s">
        <v>26</v>
      </c>
      <c r="C40">
        <v>0.770158499944955</v>
      </c>
      <c r="E40">
        <v>1</v>
      </c>
    </row>
    <row r="41" spans="1:8" x14ac:dyDescent="0.3">
      <c r="A41" s="1" t="s">
        <v>21</v>
      </c>
      <c r="B41" t="s">
        <v>25</v>
      </c>
      <c r="H41">
        <v>1</v>
      </c>
    </row>
    <row r="42" spans="1:8" x14ac:dyDescent="0.3">
      <c r="A42" s="2" t="s">
        <v>14</v>
      </c>
      <c r="B42" t="s">
        <v>25</v>
      </c>
      <c r="H42">
        <v>1</v>
      </c>
    </row>
    <row r="43" spans="1:8" x14ac:dyDescent="0.3">
      <c r="A43" s="2" t="s">
        <v>14</v>
      </c>
      <c r="B43" t="s">
        <v>26</v>
      </c>
      <c r="C43">
        <v>0.63827800005674296</v>
      </c>
      <c r="E43">
        <v>1</v>
      </c>
    </row>
    <row r="44" spans="1:8" x14ac:dyDescent="0.3">
      <c r="A44" s="1" t="s">
        <v>15</v>
      </c>
      <c r="B44" t="s">
        <v>25</v>
      </c>
      <c r="H44">
        <v>1</v>
      </c>
    </row>
    <row r="45" spans="1:8" x14ac:dyDescent="0.3">
      <c r="A45" s="1" t="s">
        <v>16</v>
      </c>
      <c r="B45" t="s">
        <v>25</v>
      </c>
      <c r="H45">
        <v>1</v>
      </c>
    </row>
    <row r="46" spans="1:8" x14ac:dyDescent="0.3">
      <c r="A46" s="2" t="s">
        <v>22</v>
      </c>
      <c r="B46" t="s">
        <v>25</v>
      </c>
      <c r="H46">
        <v>1</v>
      </c>
    </row>
    <row r="47" spans="1:8" x14ac:dyDescent="0.3">
      <c r="A47" s="2" t="s">
        <v>22</v>
      </c>
      <c r="B47" t="s">
        <v>26</v>
      </c>
      <c r="C47">
        <v>0.38939559995196699</v>
      </c>
      <c r="E47">
        <v>1</v>
      </c>
    </row>
    <row r="48" spans="1:8" x14ac:dyDescent="0.3">
      <c r="A48" s="1" t="s">
        <v>18</v>
      </c>
      <c r="B48" t="s">
        <v>25</v>
      </c>
      <c r="H48">
        <v>1</v>
      </c>
    </row>
    <row r="49" spans="1:8" x14ac:dyDescent="0.3">
      <c r="A49" s="1" t="s">
        <v>2</v>
      </c>
      <c r="B49" t="s">
        <v>25</v>
      </c>
      <c r="H49">
        <v>1</v>
      </c>
    </row>
    <row r="50" spans="1:8" x14ac:dyDescent="0.3">
      <c r="A50" s="2" t="s">
        <v>4</v>
      </c>
      <c r="B50" t="s">
        <v>25</v>
      </c>
      <c r="H50">
        <v>1</v>
      </c>
    </row>
    <row r="51" spans="1:8" x14ac:dyDescent="0.3">
      <c r="A51" s="2" t="s">
        <v>4</v>
      </c>
      <c r="B51" t="s">
        <v>26</v>
      </c>
      <c r="C51">
        <v>0.63601989997550801</v>
      </c>
      <c r="E51">
        <v>1</v>
      </c>
    </row>
    <row r="52" spans="1:8" x14ac:dyDescent="0.3">
      <c r="A52" s="1" t="s">
        <v>5</v>
      </c>
      <c r="B52" t="s">
        <v>25</v>
      </c>
      <c r="H52">
        <v>1</v>
      </c>
    </row>
    <row r="53" spans="1:8" x14ac:dyDescent="0.3">
      <c r="A53" s="2" t="s">
        <v>23</v>
      </c>
      <c r="B53" t="s">
        <v>25</v>
      </c>
      <c r="H53">
        <v>1</v>
      </c>
    </row>
    <row r="54" spans="1:8" x14ac:dyDescent="0.3">
      <c r="A54" s="2" t="s">
        <v>23</v>
      </c>
      <c r="B54" t="s">
        <v>26</v>
      </c>
      <c r="C54">
        <v>0.58143439982086398</v>
      </c>
      <c r="E54">
        <v>1</v>
      </c>
    </row>
    <row r="55" spans="1:8" x14ac:dyDescent="0.3">
      <c r="A55" s="1" t="s">
        <v>6</v>
      </c>
      <c r="B55" t="s">
        <v>25</v>
      </c>
      <c r="H55">
        <v>1</v>
      </c>
    </row>
    <row r="56" spans="1:8" x14ac:dyDescent="0.3">
      <c r="A56" s="1" t="s">
        <v>7</v>
      </c>
      <c r="B56" t="s">
        <v>25</v>
      </c>
      <c r="H56">
        <v>1</v>
      </c>
    </row>
    <row r="57" spans="1:8" x14ac:dyDescent="0.3">
      <c r="A57" s="2" t="s">
        <v>8</v>
      </c>
      <c r="B57" t="s">
        <v>25</v>
      </c>
      <c r="H57">
        <v>1</v>
      </c>
    </row>
    <row r="58" spans="1:8" x14ac:dyDescent="0.3">
      <c r="A58" s="2" t="s">
        <v>8</v>
      </c>
      <c r="B58" t="s">
        <v>26</v>
      </c>
      <c r="C58">
        <v>0.57551590004004505</v>
      </c>
      <c r="E58">
        <v>1</v>
      </c>
    </row>
    <row r="59" spans="1:8" x14ac:dyDescent="0.3">
      <c r="A59" s="1" t="s">
        <v>10</v>
      </c>
      <c r="B59" t="s">
        <v>25</v>
      </c>
      <c r="H59">
        <v>1</v>
      </c>
    </row>
    <row r="60" spans="1:8" x14ac:dyDescent="0.3">
      <c r="A60" s="2" t="s">
        <v>20</v>
      </c>
      <c r="B60" t="s">
        <v>25</v>
      </c>
      <c r="H60">
        <v>1</v>
      </c>
    </row>
    <row r="61" spans="1:8" x14ac:dyDescent="0.3">
      <c r="A61" s="2" t="s">
        <v>20</v>
      </c>
      <c r="B61" t="s">
        <v>26</v>
      </c>
      <c r="C61">
        <v>0.63136800006031901</v>
      </c>
      <c r="E61">
        <v>1</v>
      </c>
    </row>
    <row r="62" spans="1:8" x14ac:dyDescent="0.3">
      <c r="A62" s="1" t="s">
        <v>11</v>
      </c>
      <c r="B62" t="s">
        <v>25</v>
      </c>
      <c r="H62">
        <v>1</v>
      </c>
    </row>
    <row r="63" spans="1:8" x14ac:dyDescent="0.3">
      <c r="A63" s="2" t="s">
        <v>13</v>
      </c>
      <c r="B63" t="s">
        <v>25</v>
      </c>
      <c r="H63">
        <v>1</v>
      </c>
    </row>
    <row r="64" spans="1:8" x14ac:dyDescent="0.3">
      <c r="A64" s="2" t="s">
        <v>13</v>
      </c>
      <c r="B64" t="s">
        <v>26</v>
      </c>
      <c r="C64">
        <v>0.546192900044843</v>
      </c>
      <c r="E64">
        <v>1</v>
      </c>
    </row>
    <row r="65" spans="1:8" x14ac:dyDescent="0.3">
      <c r="A65" s="1" t="s">
        <v>21</v>
      </c>
      <c r="B65" t="s">
        <v>25</v>
      </c>
      <c r="H65">
        <v>1</v>
      </c>
    </row>
    <row r="66" spans="1:8" x14ac:dyDescent="0.3">
      <c r="A66" s="1" t="s">
        <v>14</v>
      </c>
      <c r="B66" t="s">
        <v>25</v>
      </c>
      <c r="H66">
        <v>1</v>
      </c>
    </row>
    <row r="67" spans="1:8" x14ac:dyDescent="0.3">
      <c r="A67" s="2" t="s">
        <v>15</v>
      </c>
      <c r="B67" t="s">
        <v>25</v>
      </c>
      <c r="H67">
        <v>1</v>
      </c>
    </row>
    <row r="68" spans="1:8" x14ac:dyDescent="0.3">
      <c r="A68" s="2" t="s">
        <v>15</v>
      </c>
      <c r="B68" t="s">
        <v>26</v>
      </c>
      <c r="C68">
        <v>0.510735499905422</v>
      </c>
      <c r="E68">
        <v>1</v>
      </c>
    </row>
    <row r="69" spans="1:8" x14ac:dyDescent="0.3">
      <c r="A69" s="1" t="s">
        <v>17</v>
      </c>
      <c r="B69" t="s">
        <v>25</v>
      </c>
      <c r="H69">
        <v>1</v>
      </c>
    </row>
    <row r="70" spans="1:8" x14ac:dyDescent="0.3">
      <c r="A70" s="2" t="s">
        <v>22</v>
      </c>
      <c r="B70" t="s">
        <v>25</v>
      </c>
      <c r="H70">
        <v>1</v>
      </c>
    </row>
    <row r="71" spans="1:8" x14ac:dyDescent="0.3">
      <c r="A71" s="2" t="s">
        <v>22</v>
      </c>
      <c r="B71" t="s">
        <v>26</v>
      </c>
      <c r="C71">
        <v>0.43573930021375401</v>
      </c>
      <c r="E71">
        <v>1</v>
      </c>
    </row>
    <row r="72" spans="1:8" x14ac:dyDescent="0.3">
      <c r="A72" s="1" t="s">
        <v>18</v>
      </c>
      <c r="B72" t="s">
        <v>25</v>
      </c>
      <c r="H72">
        <v>1</v>
      </c>
    </row>
    <row r="73" spans="1:8" x14ac:dyDescent="0.3">
      <c r="A73" s="1" t="s">
        <v>1</v>
      </c>
      <c r="B73" t="s">
        <v>25</v>
      </c>
      <c r="H73">
        <v>1</v>
      </c>
    </row>
    <row r="74" spans="1:8" x14ac:dyDescent="0.3">
      <c r="A74" s="2" t="s">
        <v>3</v>
      </c>
      <c r="B74" t="s">
        <v>25</v>
      </c>
      <c r="H74">
        <v>1</v>
      </c>
    </row>
    <row r="75" spans="1:8" x14ac:dyDescent="0.3">
      <c r="A75" s="2" t="s">
        <v>3</v>
      </c>
      <c r="B75" t="s">
        <v>26</v>
      </c>
      <c r="C75">
        <v>0.59916869993321598</v>
      </c>
      <c r="E75">
        <v>1</v>
      </c>
    </row>
    <row r="76" spans="1:8" x14ac:dyDescent="0.3">
      <c r="A76" s="1" t="s">
        <v>19</v>
      </c>
      <c r="B76" t="s">
        <v>25</v>
      </c>
      <c r="H76">
        <v>1</v>
      </c>
    </row>
    <row r="77" spans="1:8" x14ac:dyDescent="0.3">
      <c r="A77" s="1" t="s">
        <v>5</v>
      </c>
      <c r="B77" t="s">
        <v>25</v>
      </c>
      <c r="H77">
        <v>1</v>
      </c>
    </row>
    <row r="78" spans="1:8" x14ac:dyDescent="0.3">
      <c r="A78" s="2" t="s">
        <v>6</v>
      </c>
      <c r="B78" t="s">
        <v>25</v>
      </c>
      <c r="H78">
        <v>1</v>
      </c>
    </row>
    <row r="79" spans="1:8" x14ac:dyDescent="0.3">
      <c r="A79" s="2" t="s">
        <v>6</v>
      </c>
      <c r="B79" t="s">
        <v>26</v>
      </c>
      <c r="C79">
        <v>0.52204110007733096</v>
      </c>
      <c r="E79">
        <v>1</v>
      </c>
    </row>
    <row r="80" spans="1:8" x14ac:dyDescent="0.3">
      <c r="A80" s="1" t="s">
        <v>7</v>
      </c>
      <c r="B80" t="s">
        <v>25</v>
      </c>
      <c r="H80">
        <v>1</v>
      </c>
    </row>
    <row r="81" spans="1:8" x14ac:dyDescent="0.3">
      <c r="A81" s="1" t="s">
        <v>8</v>
      </c>
      <c r="B81" t="s">
        <v>25</v>
      </c>
      <c r="H81">
        <v>1</v>
      </c>
    </row>
    <row r="82" spans="1:8" x14ac:dyDescent="0.3">
      <c r="A82" s="2" t="s">
        <v>10</v>
      </c>
      <c r="B82" t="s">
        <v>25</v>
      </c>
      <c r="H82">
        <v>1</v>
      </c>
    </row>
    <row r="83" spans="1:8" x14ac:dyDescent="0.3">
      <c r="A83" s="2" t="s">
        <v>10</v>
      </c>
      <c r="B83" t="s">
        <v>26</v>
      </c>
      <c r="C83">
        <v>0.44738660007715197</v>
      </c>
      <c r="E83">
        <v>1</v>
      </c>
    </row>
    <row r="84" spans="1:8" x14ac:dyDescent="0.3">
      <c r="A84" s="1" t="s">
        <v>20</v>
      </c>
      <c r="B84" t="s">
        <v>25</v>
      </c>
      <c r="H84">
        <v>1</v>
      </c>
    </row>
    <row r="85" spans="1:8" x14ac:dyDescent="0.3">
      <c r="A85" s="1" t="s">
        <v>11</v>
      </c>
      <c r="B85" t="s">
        <v>25</v>
      </c>
      <c r="H85">
        <v>1</v>
      </c>
    </row>
    <row r="86" spans="1:8" x14ac:dyDescent="0.3">
      <c r="A86" s="2" t="s">
        <v>12</v>
      </c>
      <c r="B86" t="s">
        <v>25</v>
      </c>
      <c r="H86">
        <v>1</v>
      </c>
    </row>
    <row r="87" spans="1:8" x14ac:dyDescent="0.3">
      <c r="A87" s="2" t="s">
        <v>12</v>
      </c>
      <c r="B87" t="s">
        <v>26</v>
      </c>
      <c r="C87">
        <v>0.39926900016143901</v>
      </c>
      <c r="E87">
        <v>1</v>
      </c>
    </row>
    <row r="88" spans="1:8" x14ac:dyDescent="0.3">
      <c r="A88" s="1" t="s">
        <v>13</v>
      </c>
      <c r="B88" t="s">
        <v>25</v>
      </c>
      <c r="H88">
        <v>1</v>
      </c>
    </row>
    <row r="89" spans="1:8" x14ac:dyDescent="0.3">
      <c r="A89" s="2" t="s">
        <v>14</v>
      </c>
      <c r="B89" t="s">
        <v>25</v>
      </c>
      <c r="H89">
        <v>1</v>
      </c>
    </row>
    <row r="90" spans="1:8" x14ac:dyDescent="0.3">
      <c r="A90" s="2" t="s">
        <v>14</v>
      </c>
      <c r="B90" t="s">
        <v>26</v>
      </c>
      <c r="C90">
        <v>0.38928340002894402</v>
      </c>
      <c r="E90">
        <v>1</v>
      </c>
    </row>
    <row r="91" spans="1:8" x14ac:dyDescent="0.3">
      <c r="A91" s="1" t="s">
        <v>15</v>
      </c>
      <c r="B91" t="s">
        <v>25</v>
      </c>
      <c r="H91">
        <v>1</v>
      </c>
    </row>
    <row r="92" spans="1:8" x14ac:dyDescent="0.3">
      <c r="A92" s="1" t="s">
        <v>16</v>
      </c>
      <c r="B92" t="s">
        <v>25</v>
      </c>
      <c r="H92">
        <v>1</v>
      </c>
    </row>
    <row r="93" spans="1:8" x14ac:dyDescent="0.3">
      <c r="A93" s="2" t="s">
        <v>17</v>
      </c>
      <c r="B93" t="s">
        <v>25</v>
      </c>
      <c r="H93">
        <v>1</v>
      </c>
    </row>
    <row r="94" spans="1:8" x14ac:dyDescent="0.3">
      <c r="A94" s="2" t="s">
        <v>17</v>
      </c>
      <c r="B94" t="s">
        <v>26</v>
      </c>
      <c r="C94">
        <v>0.32896260009147199</v>
      </c>
      <c r="E94">
        <v>1</v>
      </c>
    </row>
    <row r="95" spans="1:8" x14ac:dyDescent="0.3">
      <c r="A95" s="1" t="s">
        <v>18</v>
      </c>
      <c r="B95" t="s">
        <v>25</v>
      </c>
      <c r="H95">
        <v>1</v>
      </c>
    </row>
    <row r="96" spans="1:8" x14ac:dyDescent="0.3">
      <c r="A96" s="1" t="s">
        <v>1</v>
      </c>
      <c r="B96" t="s">
        <v>25</v>
      </c>
      <c r="H96">
        <v>1</v>
      </c>
    </row>
    <row r="97" spans="1:10" x14ac:dyDescent="0.3">
      <c r="A97" s="2" t="s">
        <v>2</v>
      </c>
      <c r="B97" t="s">
        <v>25</v>
      </c>
      <c r="H97">
        <v>1</v>
      </c>
    </row>
    <row r="98" spans="1:10" x14ac:dyDescent="0.3">
      <c r="A98" s="2" t="s">
        <v>2</v>
      </c>
      <c r="B98" t="s">
        <v>26</v>
      </c>
      <c r="C98">
        <v>0.65631189988925998</v>
      </c>
      <c r="E98">
        <v>1</v>
      </c>
    </row>
    <row r="99" spans="1:10" x14ac:dyDescent="0.3">
      <c r="A99" s="1" t="s">
        <v>4</v>
      </c>
      <c r="B99" t="s">
        <v>25</v>
      </c>
      <c r="H99">
        <v>1</v>
      </c>
    </row>
    <row r="100" spans="1:10" x14ac:dyDescent="0.3">
      <c r="A100" s="1" t="s">
        <v>5</v>
      </c>
      <c r="B100" t="s">
        <v>25</v>
      </c>
      <c r="H100">
        <v>1</v>
      </c>
    </row>
    <row r="101" spans="1:10" x14ac:dyDescent="0.3">
      <c r="A101" s="2" t="s">
        <v>20</v>
      </c>
      <c r="B101" t="s">
        <v>25</v>
      </c>
      <c r="H101">
        <v>1</v>
      </c>
    </row>
    <row r="102" spans="1:10" x14ac:dyDescent="0.3">
      <c r="A102" s="2" t="s">
        <v>20</v>
      </c>
      <c r="B102" t="s">
        <v>26</v>
      </c>
      <c r="C102">
        <v>0.411393500166013</v>
      </c>
      <c r="E102">
        <v>1</v>
      </c>
    </row>
    <row r="103" spans="1:10" x14ac:dyDescent="0.3">
      <c r="E103">
        <f>SUM(E2:E102)</f>
        <v>26</v>
      </c>
      <c r="F103">
        <v>0</v>
      </c>
      <c r="G103">
        <v>0</v>
      </c>
      <c r="H103">
        <f>SUM(H2:H102)</f>
        <v>74</v>
      </c>
      <c r="J103">
        <f>SUM(E103:H103)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ABD1-647A-44B5-885F-BA44F1D6BCC7}">
  <dimension ref="A1:N103"/>
  <sheetViews>
    <sheetView workbookViewId="0">
      <selection sqref="A1:N1048576"/>
    </sheetView>
  </sheetViews>
  <sheetFormatPr defaultRowHeight="14.4" x14ac:dyDescent="0.3"/>
  <cols>
    <col min="1" max="1" width="8.88671875" style="1"/>
    <col min="7" max="7" width="10.109375" customWidth="1"/>
    <col min="8" max="8" width="15.21875" customWidth="1"/>
    <col min="11" max="11" width="22.33203125" customWidth="1"/>
  </cols>
  <sheetData>
    <row r="1" spans="1:14" x14ac:dyDescent="0.3">
      <c r="A1" s="1" t="s">
        <v>0</v>
      </c>
      <c r="B1" t="s">
        <v>24</v>
      </c>
      <c r="C1" t="s">
        <v>27</v>
      </c>
      <c r="E1" t="s">
        <v>28</v>
      </c>
      <c r="F1" t="s">
        <v>29</v>
      </c>
      <c r="G1" t="s">
        <v>30</v>
      </c>
      <c r="H1" t="s">
        <v>31</v>
      </c>
    </row>
    <row r="3" spans="1:14" x14ac:dyDescent="0.3">
      <c r="A3" s="1" t="s">
        <v>1</v>
      </c>
      <c r="B3" t="s">
        <v>25</v>
      </c>
      <c r="H3">
        <v>1</v>
      </c>
    </row>
    <row r="4" spans="1:14" x14ac:dyDescent="0.3">
      <c r="A4" s="1" t="s">
        <v>2</v>
      </c>
      <c r="B4" t="s">
        <v>25</v>
      </c>
      <c r="H4">
        <v>1</v>
      </c>
      <c r="K4" t="s">
        <v>32</v>
      </c>
      <c r="L4">
        <f>E103/(E103+F103)</f>
        <v>0.96153846153846156</v>
      </c>
      <c r="N4">
        <f>(E103+0.5)/(26+1)</f>
        <v>0.94444444444444442</v>
      </c>
    </row>
    <row r="5" spans="1:14" x14ac:dyDescent="0.3">
      <c r="A5" s="1" t="s">
        <v>3</v>
      </c>
      <c r="B5" t="s">
        <v>25</v>
      </c>
      <c r="H5">
        <v>1</v>
      </c>
      <c r="K5" t="s">
        <v>33</v>
      </c>
      <c r="L5">
        <f>G103/(G103+H103)</f>
        <v>0</v>
      </c>
      <c r="N5">
        <f>(G103+0.5)/(74+1)</f>
        <v>6.6666666666666671E-3</v>
      </c>
    </row>
    <row r="6" spans="1:14" x14ac:dyDescent="0.3">
      <c r="A6" s="2" t="s">
        <v>4</v>
      </c>
      <c r="B6" t="s">
        <v>25</v>
      </c>
      <c r="H6">
        <v>1</v>
      </c>
    </row>
    <row r="7" spans="1:14" x14ac:dyDescent="0.3">
      <c r="A7" s="2" t="s">
        <v>4</v>
      </c>
      <c r="B7" t="s">
        <v>26</v>
      </c>
      <c r="C7">
        <v>0.70116840000264302</v>
      </c>
      <c r="E7">
        <v>1</v>
      </c>
      <c r="K7" t="s">
        <v>34</v>
      </c>
      <c r="L7">
        <f>_xlfn.NORM.S.INV(N4)-_xlfn.NORM.S.INV(N5)</f>
        <v>4.0679584672425344</v>
      </c>
    </row>
    <row r="8" spans="1:14" x14ac:dyDescent="0.3">
      <c r="A8" s="1" t="s">
        <v>5</v>
      </c>
      <c r="B8" t="s">
        <v>25</v>
      </c>
      <c r="H8">
        <v>1</v>
      </c>
      <c r="K8" t="s">
        <v>35</v>
      </c>
      <c r="L8">
        <f>-0.5 * (_xlfn.NORM.S.INV(N4) + _xlfn.NORM.S.INV(N5))</f>
        <v>0.44076041559821721</v>
      </c>
    </row>
    <row r="9" spans="1:14" x14ac:dyDescent="0.3">
      <c r="A9" s="1" t="s">
        <v>6</v>
      </c>
      <c r="B9" t="s">
        <v>25</v>
      </c>
      <c r="H9">
        <v>1</v>
      </c>
    </row>
    <row r="10" spans="1:14" ht="28.8" x14ac:dyDescent="0.3">
      <c r="A10" s="1" t="s">
        <v>7</v>
      </c>
      <c r="B10" t="s">
        <v>25</v>
      </c>
      <c r="H10">
        <v>1</v>
      </c>
      <c r="K10" s="3" t="s">
        <v>36</v>
      </c>
      <c r="L10">
        <f>AVERAGE(C7:C102)</f>
        <v>0.55243157600983939</v>
      </c>
    </row>
    <row r="11" spans="1:14" x14ac:dyDescent="0.3">
      <c r="A11" s="2" t="s">
        <v>8</v>
      </c>
      <c r="B11" t="s">
        <v>25</v>
      </c>
      <c r="H11">
        <v>1</v>
      </c>
    </row>
    <row r="12" spans="1:14" x14ac:dyDescent="0.3">
      <c r="A12" s="2" t="s">
        <v>8</v>
      </c>
      <c r="B12" t="s">
        <v>26</v>
      </c>
      <c r="C12">
        <v>0.84902639989741102</v>
      </c>
      <c r="E12">
        <v>1</v>
      </c>
      <c r="K12" t="s">
        <v>37</v>
      </c>
      <c r="L12">
        <f>(E103/26)*100</f>
        <v>96.15384615384616</v>
      </c>
    </row>
    <row r="13" spans="1:14" x14ac:dyDescent="0.3">
      <c r="A13" s="1" t="s">
        <v>9</v>
      </c>
      <c r="B13" t="s">
        <v>25</v>
      </c>
      <c r="H13">
        <v>1</v>
      </c>
    </row>
    <row r="14" spans="1:14" x14ac:dyDescent="0.3">
      <c r="A14" s="2" t="s">
        <v>10</v>
      </c>
      <c r="B14" t="s">
        <v>25</v>
      </c>
      <c r="H14">
        <v>1</v>
      </c>
    </row>
    <row r="15" spans="1:14" x14ac:dyDescent="0.3">
      <c r="A15" s="2" t="s">
        <v>10</v>
      </c>
      <c r="B15" t="s">
        <v>26</v>
      </c>
      <c r="C15">
        <v>0.55013190000317902</v>
      </c>
      <c r="E15">
        <v>1</v>
      </c>
    </row>
    <row r="16" spans="1:14" x14ac:dyDescent="0.3">
      <c r="A16" s="1" t="s">
        <v>11</v>
      </c>
      <c r="B16" t="s">
        <v>25</v>
      </c>
      <c r="H16">
        <v>1</v>
      </c>
    </row>
    <row r="17" spans="1:8" x14ac:dyDescent="0.3">
      <c r="A17" s="1" t="s">
        <v>12</v>
      </c>
      <c r="B17" t="s">
        <v>25</v>
      </c>
      <c r="H17">
        <v>1</v>
      </c>
    </row>
    <row r="18" spans="1:8" x14ac:dyDescent="0.3">
      <c r="A18" s="2" t="s">
        <v>13</v>
      </c>
      <c r="B18" t="s">
        <v>25</v>
      </c>
      <c r="H18">
        <v>1</v>
      </c>
    </row>
    <row r="19" spans="1:8" x14ac:dyDescent="0.3">
      <c r="A19" s="2" t="s">
        <v>13</v>
      </c>
      <c r="B19" t="s">
        <v>26</v>
      </c>
      <c r="C19">
        <v>0.60317029990255799</v>
      </c>
      <c r="E19">
        <v>1</v>
      </c>
    </row>
    <row r="20" spans="1:8" x14ac:dyDescent="0.3">
      <c r="A20" s="1" t="s">
        <v>14</v>
      </c>
      <c r="B20" t="s">
        <v>25</v>
      </c>
      <c r="H20">
        <v>1</v>
      </c>
    </row>
    <row r="21" spans="1:8" x14ac:dyDescent="0.3">
      <c r="A21" s="1" t="s">
        <v>15</v>
      </c>
      <c r="B21" t="s">
        <v>25</v>
      </c>
      <c r="H21">
        <v>1</v>
      </c>
    </row>
    <row r="22" spans="1:8" x14ac:dyDescent="0.3">
      <c r="A22" s="2" t="s">
        <v>16</v>
      </c>
      <c r="B22" t="s">
        <v>25</v>
      </c>
      <c r="H22">
        <v>1</v>
      </c>
    </row>
    <row r="23" spans="1:8" x14ac:dyDescent="0.3">
      <c r="A23" s="2" t="s">
        <v>16</v>
      </c>
      <c r="B23" t="s">
        <v>26</v>
      </c>
      <c r="C23">
        <v>0.57933530001901001</v>
      </c>
      <c r="E23">
        <v>1</v>
      </c>
    </row>
    <row r="24" spans="1:8" x14ac:dyDescent="0.3">
      <c r="A24" s="1" t="s">
        <v>17</v>
      </c>
      <c r="B24" t="s">
        <v>25</v>
      </c>
      <c r="H24">
        <v>1</v>
      </c>
    </row>
    <row r="25" spans="1:8" x14ac:dyDescent="0.3">
      <c r="A25" s="1" t="s">
        <v>18</v>
      </c>
      <c r="B25" t="s">
        <v>25</v>
      </c>
      <c r="H25">
        <v>1</v>
      </c>
    </row>
    <row r="26" spans="1:8" x14ac:dyDescent="0.3">
      <c r="A26" s="2" t="s">
        <v>1</v>
      </c>
      <c r="B26" t="s">
        <v>25</v>
      </c>
      <c r="H26">
        <v>1</v>
      </c>
    </row>
    <row r="27" spans="1:8" x14ac:dyDescent="0.3">
      <c r="A27" s="2" t="s">
        <v>1</v>
      </c>
      <c r="B27" t="s">
        <v>26</v>
      </c>
      <c r="C27">
        <v>0.43981550005264503</v>
      </c>
      <c r="E27">
        <v>1</v>
      </c>
    </row>
    <row r="28" spans="1:8" x14ac:dyDescent="0.3">
      <c r="A28" s="1" t="s">
        <v>3</v>
      </c>
      <c r="B28" t="s">
        <v>25</v>
      </c>
      <c r="H28">
        <v>1</v>
      </c>
    </row>
    <row r="29" spans="1:8" x14ac:dyDescent="0.3">
      <c r="A29" s="1" t="s">
        <v>4</v>
      </c>
      <c r="B29" t="s">
        <v>25</v>
      </c>
      <c r="H29">
        <v>1</v>
      </c>
    </row>
    <row r="30" spans="1:8" x14ac:dyDescent="0.3">
      <c r="A30" s="1" t="s">
        <v>19</v>
      </c>
      <c r="B30" t="s">
        <v>25</v>
      </c>
      <c r="H30">
        <v>1</v>
      </c>
    </row>
    <row r="31" spans="1:8" x14ac:dyDescent="0.3">
      <c r="A31" s="2" t="s">
        <v>5</v>
      </c>
      <c r="B31" t="s">
        <v>25</v>
      </c>
      <c r="H31">
        <v>1</v>
      </c>
    </row>
    <row r="32" spans="1:8" x14ac:dyDescent="0.3">
      <c r="A32" s="2" t="s">
        <v>5</v>
      </c>
      <c r="B32" t="s">
        <v>26</v>
      </c>
      <c r="C32">
        <v>0.50389089994132497</v>
      </c>
      <c r="E32">
        <v>1</v>
      </c>
    </row>
    <row r="33" spans="1:8" x14ac:dyDescent="0.3">
      <c r="A33" s="1" t="s">
        <v>6</v>
      </c>
      <c r="B33" t="s">
        <v>25</v>
      </c>
      <c r="H33">
        <v>1</v>
      </c>
    </row>
    <row r="34" spans="1:8" x14ac:dyDescent="0.3">
      <c r="A34" s="1" t="s">
        <v>7</v>
      </c>
      <c r="B34" t="s">
        <v>25</v>
      </c>
      <c r="H34">
        <v>1</v>
      </c>
    </row>
    <row r="35" spans="1:8" x14ac:dyDescent="0.3">
      <c r="A35" s="2" t="s">
        <v>9</v>
      </c>
      <c r="B35" t="s">
        <v>25</v>
      </c>
      <c r="H35">
        <v>1</v>
      </c>
    </row>
    <row r="36" spans="1:8" x14ac:dyDescent="0.3">
      <c r="A36" s="2" t="s">
        <v>9</v>
      </c>
      <c r="B36" t="s">
        <v>26</v>
      </c>
      <c r="C36">
        <v>0.60779220005497303</v>
      </c>
      <c r="E36">
        <v>1</v>
      </c>
    </row>
    <row r="37" spans="1:8" x14ac:dyDescent="0.3">
      <c r="A37" s="1" t="s">
        <v>20</v>
      </c>
      <c r="B37" t="s">
        <v>25</v>
      </c>
      <c r="H37">
        <v>1</v>
      </c>
    </row>
    <row r="38" spans="1:8" x14ac:dyDescent="0.3">
      <c r="A38" s="1" t="s">
        <v>11</v>
      </c>
      <c r="B38" t="s">
        <v>25</v>
      </c>
      <c r="H38">
        <v>1</v>
      </c>
    </row>
    <row r="39" spans="1:8" x14ac:dyDescent="0.3">
      <c r="A39" s="2" t="s">
        <v>12</v>
      </c>
      <c r="B39" t="s">
        <v>25</v>
      </c>
      <c r="H39">
        <v>1</v>
      </c>
    </row>
    <row r="40" spans="1:8" x14ac:dyDescent="0.3">
      <c r="A40" s="2" t="s">
        <v>12</v>
      </c>
      <c r="B40" t="s">
        <v>25</v>
      </c>
      <c r="F40">
        <v>1</v>
      </c>
    </row>
    <row r="41" spans="1:8" x14ac:dyDescent="0.3">
      <c r="A41" s="1" t="s">
        <v>21</v>
      </c>
      <c r="B41" t="s">
        <v>25</v>
      </c>
      <c r="H41">
        <v>1</v>
      </c>
    </row>
    <row r="42" spans="1:8" x14ac:dyDescent="0.3">
      <c r="A42" s="2" t="s">
        <v>14</v>
      </c>
      <c r="B42" t="s">
        <v>25</v>
      </c>
      <c r="H42">
        <v>1</v>
      </c>
    </row>
    <row r="43" spans="1:8" x14ac:dyDescent="0.3">
      <c r="A43" s="2" t="s">
        <v>14</v>
      </c>
      <c r="B43" t="s">
        <v>26</v>
      </c>
      <c r="C43">
        <v>0.416560800047591</v>
      </c>
      <c r="E43">
        <v>1</v>
      </c>
    </row>
    <row r="44" spans="1:8" x14ac:dyDescent="0.3">
      <c r="A44" s="1" t="s">
        <v>15</v>
      </c>
      <c r="B44" t="s">
        <v>25</v>
      </c>
      <c r="H44">
        <v>1</v>
      </c>
    </row>
    <row r="45" spans="1:8" x14ac:dyDescent="0.3">
      <c r="A45" s="1" t="s">
        <v>16</v>
      </c>
      <c r="B45" t="s">
        <v>25</v>
      </c>
      <c r="H45">
        <v>1</v>
      </c>
    </row>
    <row r="46" spans="1:8" x14ac:dyDescent="0.3">
      <c r="A46" s="2" t="s">
        <v>22</v>
      </c>
      <c r="B46" t="s">
        <v>25</v>
      </c>
      <c r="H46">
        <v>1</v>
      </c>
    </row>
    <row r="47" spans="1:8" x14ac:dyDescent="0.3">
      <c r="A47" s="2" t="s">
        <v>22</v>
      </c>
      <c r="B47" t="s">
        <v>26</v>
      </c>
      <c r="C47">
        <v>0.449671600013971</v>
      </c>
      <c r="E47">
        <v>1</v>
      </c>
    </row>
    <row r="48" spans="1:8" x14ac:dyDescent="0.3">
      <c r="A48" s="1" t="s">
        <v>18</v>
      </c>
      <c r="B48" t="s">
        <v>25</v>
      </c>
      <c r="H48">
        <v>1</v>
      </c>
    </row>
    <row r="49" spans="1:8" x14ac:dyDescent="0.3">
      <c r="A49" s="1" t="s">
        <v>2</v>
      </c>
      <c r="B49" t="s">
        <v>25</v>
      </c>
      <c r="H49">
        <v>1</v>
      </c>
    </row>
    <row r="50" spans="1:8" x14ac:dyDescent="0.3">
      <c r="A50" s="2" t="s">
        <v>4</v>
      </c>
      <c r="B50" t="s">
        <v>25</v>
      </c>
      <c r="H50">
        <v>1</v>
      </c>
    </row>
    <row r="51" spans="1:8" x14ac:dyDescent="0.3">
      <c r="A51" s="2" t="s">
        <v>4</v>
      </c>
      <c r="B51" t="s">
        <v>26</v>
      </c>
      <c r="C51">
        <v>0.55609410000033599</v>
      </c>
      <c r="E51">
        <v>1</v>
      </c>
    </row>
    <row r="52" spans="1:8" x14ac:dyDescent="0.3">
      <c r="A52" s="1" t="s">
        <v>5</v>
      </c>
      <c r="B52" t="s">
        <v>25</v>
      </c>
      <c r="H52">
        <v>1</v>
      </c>
    </row>
    <row r="53" spans="1:8" x14ac:dyDescent="0.3">
      <c r="A53" s="2" t="s">
        <v>23</v>
      </c>
      <c r="B53" t="s">
        <v>25</v>
      </c>
      <c r="H53">
        <v>1</v>
      </c>
    </row>
    <row r="54" spans="1:8" x14ac:dyDescent="0.3">
      <c r="A54" s="2" t="s">
        <v>23</v>
      </c>
      <c r="B54" t="s">
        <v>26</v>
      </c>
      <c r="C54">
        <v>0.60876070009544403</v>
      </c>
      <c r="E54">
        <v>1</v>
      </c>
    </row>
    <row r="55" spans="1:8" x14ac:dyDescent="0.3">
      <c r="A55" s="1" t="s">
        <v>6</v>
      </c>
      <c r="B55" t="s">
        <v>25</v>
      </c>
      <c r="H55">
        <v>1</v>
      </c>
    </row>
    <row r="56" spans="1:8" x14ac:dyDescent="0.3">
      <c r="A56" s="1" t="s">
        <v>7</v>
      </c>
      <c r="B56" t="s">
        <v>25</v>
      </c>
      <c r="H56">
        <v>1</v>
      </c>
    </row>
    <row r="57" spans="1:8" x14ac:dyDescent="0.3">
      <c r="A57" s="2" t="s">
        <v>8</v>
      </c>
      <c r="B57" t="s">
        <v>25</v>
      </c>
      <c r="H57">
        <v>1</v>
      </c>
    </row>
    <row r="58" spans="1:8" x14ac:dyDescent="0.3">
      <c r="A58" s="2" t="s">
        <v>8</v>
      </c>
      <c r="B58" t="s">
        <v>26</v>
      </c>
      <c r="C58">
        <v>0.63731899997219399</v>
      </c>
      <c r="E58">
        <v>1</v>
      </c>
    </row>
    <row r="59" spans="1:8" x14ac:dyDescent="0.3">
      <c r="A59" s="1" t="s">
        <v>10</v>
      </c>
      <c r="B59" t="s">
        <v>25</v>
      </c>
      <c r="H59">
        <v>1</v>
      </c>
    </row>
    <row r="60" spans="1:8" x14ac:dyDescent="0.3">
      <c r="A60" s="2" t="s">
        <v>20</v>
      </c>
      <c r="B60" t="s">
        <v>25</v>
      </c>
      <c r="H60">
        <v>1</v>
      </c>
    </row>
    <row r="61" spans="1:8" x14ac:dyDescent="0.3">
      <c r="A61" s="2" t="s">
        <v>20</v>
      </c>
      <c r="B61" t="s">
        <v>26</v>
      </c>
      <c r="C61">
        <v>0.412300300085917</v>
      </c>
      <c r="E61">
        <v>1</v>
      </c>
    </row>
    <row r="62" spans="1:8" x14ac:dyDescent="0.3">
      <c r="A62" s="1" t="s">
        <v>11</v>
      </c>
      <c r="B62" t="s">
        <v>25</v>
      </c>
      <c r="H62">
        <v>1</v>
      </c>
    </row>
    <row r="63" spans="1:8" x14ac:dyDescent="0.3">
      <c r="A63" s="2" t="s">
        <v>13</v>
      </c>
      <c r="B63" t="s">
        <v>25</v>
      </c>
      <c r="H63">
        <v>1</v>
      </c>
    </row>
    <row r="64" spans="1:8" x14ac:dyDescent="0.3">
      <c r="A64" s="2" t="s">
        <v>13</v>
      </c>
      <c r="B64" t="s">
        <v>26</v>
      </c>
      <c r="C64">
        <v>0.60619350010529105</v>
      </c>
      <c r="E64">
        <v>1</v>
      </c>
    </row>
    <row r="65" spans="1:8" x14ac:dyDescent="0.3">
      <c r="A65" s="1" t="s">
        <v>21</v>
      </c>
      <c r="B65" t="s">
        <v>25</v>
      </c>
      <c r="H65">
        <v>1</v>
      </c>
    </row>
    <row r="66" spans="1:8" x14ac:dyDescent="0.3">
      <c r="A66" s="1" t="s">
        <v>14</v>
      </c>
      <c r="B66" t="s">
        <v>25</v>
      </c>
      <c r="H66">
        <v>1</v>
      </c>
    </row>
    <row r="67" spans="1:8" x14ac:dyDescent="0.3">
      <c r="A67" s="2" t="s">
        <v>15</v>
      </c>
      <c r="B67" t="s">
        <v>25</v>
      </c>
      <c r="H67">
        <v>1</v>
      </c>
    </row>
    <row r="68" spans="1:8" x14ac:dyDescent="0.3">
      <c r="A68" s="2" t="s">
        <v>15</v>
      </c>
      <c r="B68" t="s">
        <v>26</v>
      </c>
      <c r="C68">
        <v>0.39233769988641098</v>
      </c>
      <c r="E68">
        <v>1</v>
      </c>
    </row>
    <row r="69" spans="1:8" x14ac:dyDescent="0.3">
      <c r="A69" s="1" t="s">
        <v>17</v>
      </c>
      <c r="B69" t="s">
        <v>25</v>
      </c>
      <c r="H69">
        <v>1</v>
      </c>
    </row>
    <row r="70" spans="1:8" x14ac:dyDescent="0.3">
      <c r="A70" s="2" t="s">
        <v>22</v>
      </c>
      <c r="B70" t="s">
        <v>25</v>
      </c>
      <c r="H70">
        <v>1</v>
      </c>
    </row>
    <row r="71" spans="1:8" x14ac:dyDescent="0.3">
      <c r="A71" s="2" t="s">
        <v>22</v>
      </c>
      <c r="B71" t="s">
        <v>26</v>
      </c>
      <c r="C71">
        <v>0.63578839995898295</v>
      </c>
      <c r="E71">
        <v>1</v>
      </c>
    </row>
    <row r="72" spans="1:8" x14ac:dyDescent="0.3">
      <c r="A72" s="1" t="s">
        <v>18</v>
      </c>
      <c r="B72" t="s">
        <v>25</v>
      </c>
      <c r="H72">
        <v>1</v>
      </c>
    </row>
    <row r="73" spans="1:8" x14ac:dyDescent="0.3">
      <c r="A73" s="1" t="s">
        <v>1</v>
      </c>
      <c r="B73" t="s">
        <v>25</v>
      </c>
      <c r="H73">
        <v>1</v>
      </c>
    </row>
    <row r="74" spans="1:8" x14ac:dyDescent="0.3">
      <c r="A74" s="2" t="s">
        <v>3</v>
      </c>
      <c r="B74" t="s">
        <v>25</v>
      </c>
      <c r="H74">
        <v>1</v>
      </c>
    </row>
    <row r="75" spans="1:8" x14ac:dyDescent="0.3">
      <c r="A75" s="2" t="s">
        <v>3</v>
      </c>
      <c r="B75" t="s">
        <v>26</v>
      </c>
      <c r="C75">
        <v>0.42976010008714999</v>
      </c>
      <c r="E75">
        <v>1</v>
      </c>
    </row>
    <row r="76" spans="1:8" x14ac:dyDescent="0.3">
      <c r="A76" s="1" t="s">
        <v>19</v>
      </c>
      <c r="B76" t="s">
        <v>25</v>
      </c>
      <c r="H76">
        <v>1</v>
      </c>
    </row>
    <row r="77" spans="1:8" x14ac:dyDescent="0.3">
      <c r="A77" s="1" t="s">
        <v>5</v>
      </c>
      <c r="B77" t="s">
        <v>25</v>
      </c>
      <c r="H77">
        <v>1</v>
      </c>
    </row>
    <row r="78" spans="1:8" x14ac:dyDescent="0.3">
      <c r="A78" s="2" t="s">
        <v>6</v>
      </c>
      <c r="B78" t="s">
        <v>25</v>
      </c>
      <c r="H78">
        <v>1</v>
      </c>
    </row>
    <row r="79" spans="1:8" x14ac:dyDescent="0.3">
      <c r="A79" s="2" t="s">
        <v>6</v>
      </c>
      <c r="B79" t="s">
        <v>26</v>
      </c>
      <c r="C79">
        <v>0.50309869996272005</v>
      </c>
      <c r="E79">
        <v>1</v>
      </c>
    </row>
    <row r="80" spans="1:8" x14ac:dyDescent="0.3">
      <c r="A80" s="1" t="s">
        <v>7</v>
      </c>
      <c r="B80" t="s">
        <v>25</v>
      </c>
      <c r="H80">
        <v>1</v>
      </c>
    </row>
    <row r="81" spans="1:8" x14ac:dyDescent="0.3">
      <c r="A81" s="1" t="s">
        <v>8</v>
      </c>
      <c r="B81" t="s">
        <v>25</v>
      </c>
      <c r="H81">
        <v>1</v>
      </c>
    </row>
    <row r="82" spans="1:8" x14ac:dyDescent="0.3">
      <c r="A82" s="2" t="s">
        <v>10</v>
      </c>
      <c r="B82" t="s">
        <v>25</v>
      </c>
      <c r="H82">
        <v>1</v>
      </c>
    </row>
    <row r="83" spans="1:8" x14ac:dyDescent="0.3">
      <c r="A83" s="2" t="s">
        <v>10</v>
      </c>
      <c r="B83" t="s">
        <v>26</v>
      </c>
      <c r="C83">
        <v>0.483758799964562</v>
      </c>
      <c r="E83">
        <v>1</v>
      </c>
    </row>
    <row r="84" spans="1:8" x14ac:dyDescent="0.3">
      <c r="A84" s="1" t="s">
        <v>20</v>
      </c>
      <c r="B84" t="s">
        <v>25</v>
      </c>
      <c r="H84">
        <v>1</v>
      </c>
    </row>
    <row r="85" spans="1:8" x14ac:dyDescent="0.3">
      <c r="A85" s="1" t="s">
        <v>11</v>
      </c>
      <c r="B85" t="s">
        <v>25</v>
      </c>
      <c r="H85">
        <v>1</v>
      </c>
    </row>
    <row r="86" spans="1:8" x14ac:dyDescent="0.3">
      <c r="A86" s="2" t="s">
        <v>12</v>
      </c>
      <c r="B86" t="s">
        <v>25</v>
      </c>
      <c r="H86">
        <v>1</v>
      </c>
    </row>
    <row r="87" spans="1:8" x14ac:dyDescent="0.3">
      <c r="A87" s="2" t="s">
        <v>12</v>
      </c>
      <c r="B87" t="s">
        <v>26</v>
      </c>
      <c r="C87">
        <v>0.44094710005447202</v>
      </c>
      <c r="E87">
        <v>1</v>
      </c>
    </row>
    <row r="88" spans="1:8" x14ac:dyDescent="0.3">
      <c r="A88" s="1" t="s">
        <v>13</v>
      </c>
      <c r="B88" t="s">
        <v>25</v>
      </c>
      <c r="H88">
        <v>1</v>
      </c>
    </row>
    <row r="89" spans="1:8" x14ac:dyDescent="0.3">
      <c r="A89" s="2" t="s">
        <v>14</v>
      </c>
      <c r="B89" t="s">
        <v>25</v>
      </c>
      <c r="H89">
        <v>1</v>
      </c>
    </row>
    <row r="90" spans="1:8" x14ac:dyDescent="0.3">
      <c r="A90" s="2" t="s">
        <v>14</v>
      </c>
      <c r="B90" t="s">
        <v>26</v>
      </c>
      <c r="C90">
        <v>0.63266139989718795</v>
      </c>
      <c r="E90">
        <v>1</v>
      </c>
    </row>
    <row r="91" spans="1:8" x14ac:dyDescent="0.3">
      <c r="A91" s="1" t="s">
        <v>15</v>
      </c>
      <c r="B91" t="s">
        <v>25</v>
      </c>
      <c r="H91">
        <v>1</v>
      </c>
    </row>
    <row r="92" spans="1:8" x14ac:dyDescent="0.3">
      <c r="A92" s="1" t="s">
        <v>16</v>
      </c>
      <c r="B92" t="s">
        <v>25</v>
      </c>
      <c r="H92">
        <v>1</v>
      </c>
    </row>
    <row r="93" spans="1:8" x14ac:dyDescent="0.3">
      <c r="A93" s="2" t="s">
        <v>17</v>
      </c>
      <c r="B93" t="s">
        <v>25</v>
      </c>
      <c r="H93">
        <v>1</v>
      </c>
    </row>
    <row r="94" spans="1:8" x14ac:dyDescent="0.3">
      <c r="A94" s="2" t="s">
        <v>17</v>
      </c>
      <c r="B94" t="s">
        <v>26</v>
      </c>
      <c r="C94">
        <v>0.54123830003663898</v>
      </c>
      <c r="E94">
        <v>1</v>
      </c>
    </row>
    <row r="95" spans="1:8" x14ac:dyDescent="0.3">
      <c r="A95" s="1" t="s">
        <v>18</v>
      </c>
      <c r="B95" t="s">
        <v>25</v>
      </c>
      <c r="H95">
        <v>1</v>
      </c>
    </row>
    <row r="96" spans="1:8" x14ac:dyDescent="0.3">
      <c r="A96" s="1" t="s">
        <v>1</v>
      </c>
      <c r="B96" t="s">
        <v>25</v>
      </c>
      <c r="H96">
        <v>1</v>
      </c>
    </row>
    <row r="97" spans="1:10" x14ac:dyDescent="0.3">
      <c r="A97" s="2" t="s">
        <v>2</v>
      </c>
      <c r="B97" t="s">
        <v>25</v>
      </c>
      <c r="H97">
        <v>1</v>
      </c>
    </row>
    <row r="98" spans="1:10" x14ac:dyDescent="0.3">
      <c r="A98" s="2" t="s">
        <v>2</v>
      </c>
      <c r="B98" t="s">
        <v>26</v>
      </c>
      <c r="C98">
        <v>0.67621640022843998</v>
      </c>
      <c r="E98">
        <v>1</v>
      </c>
    </row>
    <row r="99" spans="1:10" x14ac:dyDescent="0.3">
      <c r="A99" s="1" t="s">
        <v>4</v>
      </c>
      <c r="B99" t="s">
        <v>25</v>
      </c>
      <c r="H99">
        <v>1</v>
      </c>
    </row>
    <row r="100" spans="1:10" x14ac:dyDescent="0.3">
      <c r="A100" s="1" t="s">
        <v>5</v>
      </c>
      <c r="B100" t="s">
        <v>25</v>
      </c>
      <c r="H100">
        <v>1</v>
      </c>
    </row>
    <row r="101" spans="1:10" x14ac:dyDescent="0.3">
      <c r="A101" s="2" t="s">
        <v>20</v>
      </c>
      <c r="B101" t="s">
        <v>25</v>
      </c>
      <c r="H101">
        <v>1</v>
      </c>
    </row>
    <row r="102" spans="1:10" x14ac:dyDescent="0.3">
      <c r="A102" s="2" t="s">
        <v>20</v>
      </c>
      <c r="B102" t="s">
        <v>26</v>
      </c>
      <c r="C102">
        <v>0.55375159997492995</v>
      </c>
      <c r="E102">
        <v>1</v>
      </c>
    </row>
    <row r="103" spans="1:10" x14ac:dyDescent="0.3">
      <c r="E103">
        <f>SUM(E2:E102)</f>
        <v>25</v>
      </c>
      <c r="F103">
        <f>SUM(F2:F101)</f>
        <v>1</v>
      </c>
      <c r="G103">
        <v>0</v>
      </c>
      <c r="H103">
        <f>SUM(H3:H102)</f>
        <v>74</v>
      </c>
      <c r="J103">
        <f>SUM(E103:H103)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5510-B563-4C52-9847-B4D354DFED4E}">
  <dimension ref="A1:O103"/>
  <sheetViews>
    <sheetView tabSelected="1" workbookViewId="0">
      <selection sqref="A1:O1048576"/>
    </sheetView>
  </sheetViews>
  <sheetFormatPr defaultRowHeight="14.4" x14ac:dyDescent="0.3"/>
  <cols>
    <col min="1" max="1" width="8.88671875" style="1"/>
    <col min="7" max="7" width="10.6640625" customWidth="1"/>
    <col min="8" max="8" width="15.21875" customWidth="1"/>
    <col min="12" max="12" width="21.44140625" customWidth="1"/>
  </cols>
  <sheetData>
    <row r="1" spans="1:15" x14ac:dyDescent="0.3">
      <c r="A1" s="1" t="s">
        <v>0</v>
      </c>
      <c r="B1" t="s">
        <v>24</v>
      </c>
      <c r="C1" t="s">
        <v>27</v>
      </c>
      <c r="E1" t="s">
        <v>28</v>
      </c>
      <c r="F1" t="s">
        <v>29</v>
      </c>
      <c r="G1" t="s">
        <v>30</v>
      </c>
      <c r="H1" t="s">
        <v>31</v>
      </c>
    </row>
    <row r="3" spans="1:15" x14ac:dyDescent="0.3">
      <c r="A3" s="1" t="s">
        <v>1</v>
      </c>
      <c r="B3" t="s">
        <v>25</v>
      </c>
      <c r="H3">
        <v>1</v>
      </c>
    </row>
    <row r="4" spans="1:15" x14ac:dyDescent="0.3">
      <c r="A4" s="1" t="s">
        <v>2</v>
      </c>
      <c r="B4" t="s">
        <v>25</v>
      </c>
      <c r="H4">
        <v>1</v>
      </c>
      <c r="L4" t="s">
        <v>32</v>
      </c>
      <c r="M4">
        <f>E103/(E103+F103)</f>
        <v>1</v>
      </c>
      <c r="O4">
        <f>(E103+0.5)/(26+1)</f>
        <v>0.98148148148148151</v>
      </c>
    </row>
    <row r="5" spans="1:15" x14ac:dyDescent="0.3">
      <c r="A5" s="1" t="s">
        <v>3</v>
      </c>
      <c r="B5" t="s">
        <v>25</v>
      </c>
      <c r="H5">
        <v>1</v>
      </c>
      <c r="L5" t="s">
        <v>33</v>
      </c>
      <c r="M5">
        <f>G103/(G103+H103)</f>
        <v>0</v>
      </c>
      <c r="O5">
        <f>(G103+0.5)/(74+1)</f>
        <v>6.6666666666666671E-3</v>
      </c>
    </row>
    <row r="6" spans="1:15" x14ac:dyDescent="0.3">
      <c r="A6" s="2" t="s">
        <v>4</v>
      </c>
      <c r="B6" t="s">
        <v>25</v>
      </c>
      <c r="H6">
        <v>1</v>
      </c>
    </row>
    <row r="7" spans="1:15" x14ac:dyDescent="0.3">
      <c r="A7" s="2" t="s">
        <v>4</v>
      </c>
      <c r="B7" t="s">
        <v>26</v>
      </c>
      <c r="C7">
        <v>0.42726130015216701</v>
      </c>
      <c r="E7">
        <v>1</v>
      </c>
      <c r="L7" t="s">
        <v>34</v>
      </c>
      <c r="M7">
        <f>_xlfn.NORM.S.INV(O4)-_xlfn.NORM.S.INV(O5)</f>
        <v>4.5600952152513141</v>
      </c>
    </row>
    <row r="8" spans="1:15" x14ac:dyDescent="0.3">
      <c r="A8" s="1" t="s">
        <v>5</v>
      </c>
      <c r="B8" t="s">
        <v>25</v>
      </c>
      <c r="H8">
        <v>1</v>
      </c>
      <c r="L8" t="s">
        <v>35</v>
      </c>
      <c r="M8">
        <f>-0.5 * (_xlfn.NORM.S.INV(O4) + _xlfn.NORM.S.INV(O5))</f>
        <v>0.19469204159382758</v>
      </c>
    </row>
    <row r="9" spans="1:15" x14ac:dyDescent="0.3">
      <c r="A9" s="1" t="s">
        <v>6</v>
      </c>
      <c r="B9" t="s">
        <v>25</v>
      </c>
      <c r="H9">
        <v>1</v>
      </c>
    </row>
    <row r="10" spans="1:15" ht="28.8" x14ac:dyDescent="0.3">
      <c r="A10" s="1" t="s">
        <v>7</v>
      </c>
      <c r="B10" t="s">
        <v>25</v>
      </c>
      <c r="H10">
        <v>1</v>
      </c>
      <c r="L10" s="3" t="s">
        <v>36</v>
      </c>
      <c r="M10">
        <f>AVERAGE(C6:C102)</f>
        <v>0.447959950041527</v>
      </c>
    </row>
    <row r="11" spans="1:15" x14ac:dyDescent="0.3">
      <c r="A11" s="2" t="s">
        <v>8</v>
      </c>
      <c r="B11" t="s">
        <v>25</v>
      </c>
      <c r="H11">
        <v>1</v>
      </c>
    </row>
    <row r="12" spans="1:15" x14ac:dyDescent="0.3">
      <c r="A12" s="2" t="s">
        <v>8</v>
      </c>
      <c r="B12" t="s">
        <v>26</v>
      </c>
      <c r="C12">
        <v>0.46802129992283797</v>
      </c>
      <c r="E12">
        <v>1</v>
      </c>
      <c r="L12" t="s">
        <v>37</v>
      </c>
      <c r="M12">
        <f>(E103/26)*100</f>
        <v>100</v>
      </c>
    </row>
    <row r="13" spans="1:15" x14ac:dyDescent="0.3">
      <c r="A13" s="1" t="s">
        <v>9</v>
      </c>
      <c r="B13" t="s">
        <v>25</v>
      </c>
      <c r="H13">
        <v>1</v>
      </c>
    </row>
    <row r="14" spans="1:15" x14ac:dyDescent="0.3">
      <c r="A14" s="2" t="s">
        <v>10</v>
      </c>
      <c r="B14" t="s">
        <v>25</v>
      </c>
      <c r="H14">
        <v>1</v>
      </c>
    </row>
    <row r="15" spans="1:15" x14ac:dyDescent="0.3">
      <c r="A15" s="2" t="s">
        <v>10</v>
      </c>
      <c r="B15" t="s">
        <v>26</v>
      </c>
      <c r="C15">
        <v>0.44516440015286202</v>
      </c>
      <c r="E15">
        <v>1</v>
      </c>
    </row>
    <row r="16" spans="1:15" x14ac:dyDescent="0.3">
      <c r="A16" s="1" t="s">
        <v>11</v>
      </c>
      <c r="B16" t="s">
        <v>25</v>
      </c>
      <c r="H16">
        <v>1</v>
      </c>
    </row>
    <row r="17" spans="1:8" x14ac:dyDescent="0.3">
      <c r="A17" s="1" t="s">
        <v>12</v>
      </c>
      <c r="B17" t="s">
        <v>25</v>
      </c>
      <c r="H17">
        <v>1</v>
      </c>
    </row>
    <row r="18" spans="1:8" x14ac:dyDescent="0.3">
      <c r="A18" s="2" t="s">
        <v>13</v>
      </c>
      <c r="B18" t="s">
        <v>25</v>
      </c>
      <c r="H18">
        <v>1</v>
      </c>
    </row>
    <row r="19" spans="1:8" x14ac:dyDescent="0.3">
      <c r="A19" s="2" t="s">
        <v>13</v>
      </c>
      <c r="B19" t="s">
        <v>26</v>
      </c>
      <c r="C19">
        <v>0.55354170012287796</v>
      </c>
      <c r="E19">
        <v>1</v>
      </c>
    </row>
    <row r="20" spans="1:8" x14ac:dyDescent="0.3">
      <c r="A20" s="1" t="s">
        <v>14</v>
      </c>
      <c r="B20" t="s">
        <v>25</v>
      </c>
      <c r="H20">
        <v>1</v>
      </c>
    </row>
    <row r="21" spans="1:8" x14ac:dyDescent="0.3">
      <c r="A21" s="1" t="s">
        <v>15</v>
      </c>
      <c r="B21" t="s">
        <v>25</v>
      </c>
      <c r="H21">
        <v>1</v>
      </c>
    </row>
    <row r="22" spans="1:8" x14ac:dyDescent="0.3">
      <c r="A22" s="2" t="s">
        <v>16</v>
      </c>
      <c r="B22" t="s">
        <v>25</v>
      </c>
      <c r="H22">
        <v>1</v>
      </c>
    </row>
    <row r="23" spans="1:8" x14ac:dyDescent="0.3">
      <c r="A23" s="2" t="s">
        <v>16</v>
      </c>
      <c r="B23" t="s">
        <v>26</v>
      </c>
      <c r="C23">
        <v>0.50680129998363499</v>
      </c>
      <c r="E23">
        <v>1</v>
      </c>
    </row>
    <row r="24" spans="1:8" x14ac:dyDescent="0.3">
      <c r="A24" s="1" t="s">
        <v>17</v>
      </c>
      <c r="B24" t="s">
        <v>25</v>
      </c>
      <c r="H24">
        <v>1</v>
      </c>
    </row>
    <row r="25" spans="1:8" x14ac:dyDescent="0.3">
      <c r="A25" s="1" t="s">
        <v>18</v>
      </c>
      <c r="B25" t="s">
        <v>25</v>
      </c>
      <c r="H25">
        <v>1</v>
      </c>
    </row>
    <row r="26" spans="1:8" x14ac:dyDescent="0.3">
      <c r="A26" s="2" t="s">
        <v>1</v>
      </c>
      <c r="B26" t="s">
        <v>25</v>
      </c>
      <c r="H26">
        <v>1</v>
      </c>
    </row>
    <row r="27" spans="1:8" x14ac:dyDescent="0.3">
      <c r="A27" s="2" t="s">
        <v>1</v>
      </c>
      <c r="B27" t="s">
        <v>26</v>
      </c>
      <c r="C27">
        <v>0.40796300000511099</v>
      </c>
      <c r="E27">
        <v>1</v>
      </c>
    </row>
    <row r="28" spans="1:8" x14ac:dyDescent="0.3">
      <c r="A28" s="1" t="s">
        <v>3</v>
      </c>
      <c r="B28" t="s">
        <v>25</v>
      </c>
      <c r="H28">
        <v>1</v>
      </c>
    </row>
    <row r="29" spans="1:8" x14ac:dyDescent="0.3">
      <c r="A29" s="1" t="s">
        <v>4</v>
      </c>
      <c r="B29" t="s">
        <v>25</v>
      </c>
      <c r="H29">
        <v>1</v>
      </c>
    </row>
    <row r="30" spans="1:8" x14ac:dyDescent="0.3">
      <c r="A30" s="1" t="s">
        <v>19</v>
      </c>
      <c r="B30" t="s">
        <v>25</v>
      </c>
      <c r="H30">
        <v>1</v>
      </c>
    </row>
    <row r="31" spans="1:8" x14ac:dyDescent="0.3">
      <c r="A31" s="2" t="s">
        <v>5</v>
      </c>
      <c r="B31" t="s">
        <v>25</v>
      </c>
      <c r="H31">
        <v>1</v>
      </c>
    </row>
    <row r="32" spans="1:8" x14ac:dyDescent="0.3">
      <c r="A32" s="2" t="s">
        <v>5</v>
      </c>
      <c r="B32" t="s">
        <v>26</v>
      </c>
      <c r="C32">
        <v>0.41021450003609</v>
      </c>
      <c r="E32">
        <v>1</v>
      </c>
    </row>
    <row r="33" spans="1:8" x14ac:dyDescent="0.3">
      <c r="A33" s="1" t="s">
        <v>6</v>
      </c>
      <c r="B33" t="s">
        <v>25</v>
      </c>
      <c r="H33">
        <v>1</v>
      </c>
    </row>
    <row r="34" spans="1:8" x14ac:dyDescent="0.3">
      <c r="A34" s="1" t="s">
        <v>7</v>
      </c>
      <c r="B34" t="s">
        <v>25</v>
      </c>
      <c r="H34">
        <v>1</v>
      </c>
    </row>
    <row r="35" spans="1:8" x14ac:dyDescent="0.3">
      <c r="A35" s="2" t="s">
        <v>9</v>
      </c>
      <c r="B35" t="s">
        <v>25</v>
      </c>
      <c r="H35">
        <v>1</v>
      </c>
    </row>
    <row r="36" spans="1:8" x14ac:dyDescent="0.3">
      <c r="A36" s="2" t="s">
        <v>9</v>
      </c>
      <c r="B36" t="s">
        <v>26</v>
      </c>
      <c r="C36">
        <v>0.491102800006046</v>
      </c>
      <c r="E36">
        <v>1</v>
      </c>
    </row>
    <row r="37" spans="1:8" x14ac:dyDescent="0.3">
      <c r="A37" s="1" t="s">
        <v>20</v>
      </c>
      <c r="B37" t="s">
        <v>25</v>
      </c>
      <c r="H37">
        <v>1</v>
      </c>
    </row>
    <row r="38" spans="1:8" x14ac:dyDescent="0.3">
      <c r="A38" s="1" t="s">
        <v>11</v>
      </c>
      <c r="B38" t="s">
        <v>25</v>
      </c>
      <c r="H38">
        <v>1</v>
      </c>
    </row>
    <row r="39" spans="1:8" x14ac:dyDescent="0.3">
      <c r="A39" s="2" t="s">
        <v>12</v>
      </c>
      <c r="B39" t="s">
        <v>25</v>
      </c>
      <c r="H39">
        <v>1</v>
      </c>
    </row>
    <row r="40" spans="1:8" x14ac:dyDescent="0.3">
      <c r="A40" s="2" t="s">
        <v>12</v>
      </c>
      <c r="B40" t="s">
        <v>26</v>
      </c>
      <c r="C40">
        <v>0.352853100048378</v>
      </c>
      <c r="E40">
        <v>1</v>
      </c>
    </row>
    <row r="41" spans="1:8" x14ac:dyDescent="0.3">
      <c r="A41" s="1" t="s">
        <v>21</v>
      </c>
      <c r="B41" t="s">
        <v>25</v>
      </c>
      <c r="H41">
        <v>1</v>
      </c>
    </row>
    <row r="42" spans="1:8" x14ac:dyDescent="0.3">
      <c r="A42" s="2" t="s">
        <v>14</v>
      </c>
      <c r="B42" t="s">
        <v>25</v>
      </c>
      <c r="H42">
        <v>1</v>
      </c>
    </row>
    <row r="43" spans="1:8" x14ac:dyDescent="0.3">
      <c r="A43" s="2" t="s">
        <v>14</v>
      </c>
      <c r="B43" t="s">
        <v>26</v>
      </c>
      <c r="C43">
        <v>0.53327010013163001</v>
      </c>
      <c r="E43">
        <v>1</v>
      </c>
    </row>
    <row r="44" spans="1:8" x14ac:dyDescent="0.3">
      <c r="A44" s="1" t="s">
        <v>15</v>
      </c>
      <c r="B44" t="s">
        <v>25</v>
      </c>
      <c r="H44">
        <v>1</v>
      </c>
    </row>
    <row r="45" spans="1:8" x14ac:dyDescent="0.3">
      <c r="A45" s="1" t="s">
        <v>16</v>
      </c>
      <c r="B45" t="s">
        <v>25</v>
      </c>
      <c r="H45">
        <v>1</v>
      </c>
    </row>
    <row r="46" spans="1:8" x14ac:dyDescent="0.3">
      <c r="A46" s="2" t="s">
        <v>22</v>
      </c>
      <c r="B46" t="s">
        <v>25</v>
      </c>
      <c r="H46">
        <v>1</v>
      </c>
    </row>
    <row r="47" spans="1:8" x14ac:dyDescent="0.3">
      <c r="A47" s="2" t="s">
        <v>22</v>
      </c>
      <c r="B47" t="s">
        <v>26</v>
      </c>
      <c r="C47">
        <v>0.343383200000971</v>
      </c>
      <c r="E47">
        <v>1</v>
      </c>
    </row>
    <row r="48" spans="1:8" x14ac:dyDescent="0.3">
      <c r="A48" s="1" t="s">
        <v>18</v>
      </c>
      <c r="B48" t="s">
        <v>25</v>
      </c>
      <c r="H48">
        <v>1</v>
      </c>
    </row>
    <row r="49" spans="1:8" x14ac:dyDescent="0.3">
      <c r="A49" s="1" t="s">
        <v>2</v>
      </c>
      <c r="B49" t="s">
        <v>25</v>
      </c>
      <c r="H49">
        <v>1</v>
      </c>
    </row>
    <row r="50" spans="1:8" x14ac:dyDescent="0.3">
      <c r="A50" s="2" t="s">
        <v>4</v>
      </c>
      <c r="B50" t="s">
        <v>25</v>
      </c>
      <c r="H50">
        <v>1</v>
      </c>
    </row>
    <row r="51" spans="1:8" x14ac:dyDescent="0.3">
      <c r="A51" s="2" t="s">
        <v>4</v>
      </c>
      <c r="B51" t="s">
        <v>26</v>
      </c>
      <c r="C51">
        <v>0.48532139998860602</v>
      </c>
      <c r="E51">
        <v>1</v>
      </c>
    </row>
    <row r="52" spans="1:8" x14ac:dyDescent="0.3">
      <c r="A52" s="1" t="s">
        <v>5</v>
      </c>
      <c r="B52" t="s">
        <v>25</v>
      </c>
      <c r="H52">
        <v>1</v>
      </c>
    </row>
    <row r="53" spans="1:8" x14ac:dyDescent="0.3">
      <c r="A53" s="2" t="s">
        <v>23</v>
      </c>
      <c r="B53" t="s">
        <v>25</v>
      </c>
      <c r="H53">
        <v>1</v>
      </c>
    </row>
    <row r="54" spans="1:8" x14ac:dyDescent="0.3">
      <c r="A54" s="2" t="s">
        <v>23</v>
      </c>
      <c r="B54" t="s">
        <v>26</v>
      </c>
      <c r="C54">
        <v>0.43570660008117501</v>
      </c>
      <c r="E54">
        <v>1</v>
      </c>
    </row>
    <row r="55" spans="1:8" x14ac:dyDescent="0.3">
      <c r="A55" s="1" t="s">
        <v>6</v>
      </c>
      <c r="B55" t="s">
        <v>25</v>
      </c>
      <c r="H55">
        <v>1</v>
      </c>
    </row>
    <row r="56" spans="1:8" x14ac:dyDescent="0.3">
      <c r="A56" s="1" t="s">
        <v>7</v>
      </c>
      <c r="B56" t="s">
        <v>25</v>
      </c>
      <c r="H56">
        <v>1</v>
      </c>
    </row>
    <row r="57" spans="1:8" x14ac:dyDescent="0.3">
      <c r="A57" s="2" t="s">
        <v>8</v>
      </c>
      <c r="B57" t="s">
        <v>25</v>
      </c>
      <c r="H57">
        <v>1</v>
      </c>
    </row>
    <row r="58" spans="1:8" x14ac:dyDescent="0.3">
      <c r="A58" s="2" t="s">
        <v>8</v>
      </c>
      <c r="B58" t="s">
        <v>26</v>
      </c>
      <c r="C58">
        <v>0.41240560007281601</v>
      </c>
      <c r="E58">
        <v>1</v>
      </c>
    </row>
    <row r="59" spans="1:8" x14ac:dyDescent="0.3">
      <c r="A59" s="1" t="s">
        <v>10</v>
      </c>
      <c r="B59" t="s">
        <v>25</v>
      </c>
      <c r="H59">
        <v>1</v>
      </c>
    </row>
    <row r="60" spans="1:8" x14ac:dyDescent="0.3">
      <c r="A60" s="2" t="s">
        <v>20</v>
      </c>
      <c r="B60" t="s">
        <v>25</v>
      </c>
      <c r="H60">
        <v>1</v>
      </c>
    </row>
    <row r="61" spans="1:8" x14ac:dyDescent="0.3">
      <c r="A61" s="2" t="s">
        <v>20</v>
      </c>
      <c r="B61" t="s">
        <v>26</v>
      </c>
      <c r="C61">
        <v>0.38951930007897301</v>
      </c>
      <c r="E61">
        <v>1</v>
      </c>
    </row>
    <row r="62" spans="1:8" x14ac:dyDescent="0.3">
      <c r="A62" s="1" t="s">
        <v>11</v>
      </c>
      <c r="B62" t="s">
        <v>25</v>
      </c>
      <c r="H62">
        <v>1</v>
      </c>
    </row>
    <row r="63" spans="1:8" x14ac:dyDescent="0.3">
      <c r="A63" s="2" t="s">
        <v>13</v>
      </c>
      <c r="B63" t="s">
        <v>25</v>
      </c>
      <c r="H63">
        <v>1</v>
      </c>
    </row>
    <row r="64" spans="1:8" x14ac:dyDescent="0.3">
      <c r="A64" s="2" t="s">
        <v>13</v>
      </c>
      <c r="B64" t="s">
        <v>26</v>
      </c>
      <c r="C64">
        <v>0.54566750000230901</v>
      </c>
      <c r="E64">
        <v>1</v>
      </c>
    </row>
    <row r="65" spans="1:8" x14ac:dyDescent="0.3">
      <c r="A65" s="1" t="s">
        <v>21</v>
      </c>
      <c r="B65" t="s">
        <v>25</v>
      </c>
      <c r="H65">
        <v>1</v>
      </c>
    </row>
    <row r="66" spans="1:8" x14ac:dyDescent="0.3">
      <c r="A66" s="1" t="s">
        <v>14</v>
      </c>
      <c r="B66" t="s">
        <v>25</v>
      </c>
      <c r="H66">
        <v>1</v>
      </c>
    </row>
    <row r="67" spans="1:8" x14ac:dyDescent="0.3">
      <c r="A67" s="2" t="s">
        <v>15</v>
      </c>
      <c r="B67" t="s">
        <v>25</v>
      </c>
      <c r="H67">
        <v>1</v>
      </c>
    </row>
    <row r="68" spans="1:8" x14ac:dyDescent="0.3">
      <c r="A68" s="2" t="s">
        <v>15</v>
      </c>
      <c r="B68" t="s">
        <v>26</v>
      </c>
      <c r="C68">
        <v>0.42729370016604601</v>
      </c>
      <c r="E68">
        <v>1</v>
      </c>
    </row>
    <row r="69" spans="1:8" x14ac:dyDescent="0.3">
      <c r="A69" s="1" t="s">
        <v>17</v>
      </c>
      <c r="B69" t="s">
        <v>25</v>
      </c>
      <c r="H69">
        <v>1</v>
      </c>
    </row>
    <row r="70" spans="1:8" x14ac:dyDescent="0.3">
      <c r="A70" s="2" t="s">
        <v>22</v>
      </c>
      <c r="B70" t="s">
        <v>25</v>
      </c>
      <c r="H70">
        <v>1</v>
      </c>
    </row>
    <row r="71" spans="1:8" x14ac:dyDescent="0.3">
      <c r="A71" s="2" t="s">
        <v>22</v>
      </c>
      <c r="B71" t="s">
        <v>26</v>
      </c>
      <c r="C71">
        <v>0.47708659991621899</v>
      </c>
      <c r="E71">
        <v>1</v>
      </c>
    </row>
    <row r="72" spans="1:8" x14ac:dyDescent="0.3">
      <c r="A72" s="1" t="s">
        <v>18</v>
      </c>
      <c r="B72" t="s">
        <v>25</v>
      </c>
      <c r="H72">
        <v>1</v>
      </c>
    </row>
    <row r="73" spans="1:8" x14ac:dyDescent="0.3">
      <c r="A73" s="1" t="s">
        <v>1</v>
      </c>
      <c r="B73" t="s">
        <v>25</v>
      </c>
      <c r="H73">
        <v>1</v>
      </c>
    </row>
    <row r="74" spans="1:8" x14ac:dyDescent="0.3">
      <c r="A74" s="2" t="s">
        <v>3</v>
      </c>
      <c r="B74" t="s">
        <v>25</v>
      </c>
      <c r="H74">
        <v>1</v>
      </c>
    </row>
    <row r="75" spans="1:8" x14ac:dyDescent="0.3">
      <c r="A75" s="2" t="s">
        <v>3</v>
      </c>
      <c r="B75" t="s">
        <v>26</v>
      </c>
      <c r="C75">
        <v>0.38764079986140099</v>
      </c>
      <c r="E75">
        <v>1</v>
      </c>
    </row>
    <row r="76" spans="1:8" x14ac:dyDescent="0.3">
      <c r="A76" s="1" t="s">
        <v>19</v>
      </c>
      <c r="B76" t="s">
        <v>25</v>
      </c>
      <c r="H76">
        <v>1</v>
      </c>
    </row>
    <row r="77" spans="1:8" x14ac:dyDescent="0.3">
      <c r="A77" s="1" t="s">
        <v>5</v>
      </c>
      <c r="B77" t="s">
        <v>25</v>
      </c>
      <c r="H77">
        <v>1</v>
      </c>
    </row>
    <row r="78" spans="1:8" x14ac:dyDescent="0.3">
      <c r="A78" s="2" t="s">
        <v>6</v>
      </c>
      <c r="B78" t="s">
        <v>25</v>
      </c>
      <c r="H78">
        <v>1</v>
      </c>
    </row>
    <row r="79" spans="1:8" x14ac:dyDescent="0.3">
      <c r="A79" s="2" t="s">
        <v>6</v>
      </c>
      <c r="B79" t="s">
        <v>26</v>
      </c>
      <c r="C79">
        <v>0.57105120015330602</v>
      </c>
      <c r="E79">
        <v>1</v>
      </c>
    </row>
    <row r="80" spans="1:8" x14ac:dyDescent="0.3">
      <c r="A80" s="1" t="s">
        <v>7</v>
      </c>
      <c r="B80" t="s">
        <v>25</v>
      </c>
      <c r="H80">
        <v>1</v>
      </c>
    </row>
    <row r="81" spans="1:8" x14ac:dyDescent="0.3">
      <c r="A81" s="1" t="s">
        <v>8</v>
      </c>
      <c r="B81" t="s">
        <v>25</v>
      </c>
      <c r="H81">
        <v>1</v>
      </c>
    </row>
    <row r="82" spans="1:8" x14ac:dyDescent="0.3">
      <c r="A82" s="2" t="s">
        <v>10</v>
      </c>
      <c r="B82" t="s">
        <v>25</v>
      </c>
      <c r="H82">
        <v>1</v>
      </c>
    </row>
    <row r="83" spans="1:8" x14ac:dyDescent="0.3">
      <c r="A83" s="2" t="s">
        <v>10</v>
      </c>
      <c r="B83" t="s">
        <v>26</v>
      </c>
      <c r="C83">
        <v>0.42226759996265101</v>
      </c>
      <c r="E83">
        <v>1</v>
      </c>
    </row>
    <row r="84" spans="1:8" x14ac:dyDescent="0.3">
      <c r="A84" s="1" t="s">
        <v>20</v>
      </c>
      <c r="B84" t="s">
        <v>25</v>
      </c>
      <c r="H84">
        <v>1</v>
      </c>
    </row>
    <row r="85" spans="1:8" x14ac:dyDescent="0.3">
      <c r="A85" s="1" t="s">
        <v>11</v>
      </c>
      <c r="B85" t="s">
        <v>25</v>
      </c>
      <c r="H85">
        <v>1</v>
      </c>
    </row>
    <row r="86" spans="1:8" x14ac:dyDescent="0.3">
      <c r="A86" s="2" t="s">
        <v>12</v>
      </c>
      <c r="B86" t="s">
        <v>25</v>
      </c>
      <c r="H86">
        <v>1</v>
      </c>
    </row>
    <row r="87" spans="1:8" x14ac:dyDescent="0.3">
      <c r="A87" s="2" t="s">
        <v>12</v>
      </c>
      <c r="B87" t="s">
        <v>26</v>
      </c>
      <c r="C87">
        <v>0.42475120001472499</v>
      </c>
      <c r="E87">
        <v>1</v>
      </c>
    </row>
    <row r="88" spans="1:8" x14ac:dyDescent="0.3">
      <c r="A88" s="1" t="s">
        <v>13</v>
      </c>
      <c r="B88" t="s">
        <v>25</v>
      </c>
      <c r="H88">
        <v>1</v>
      </c>
    </row>
    <row r="89" spans="1:8" x14ac:dyDescent="0.3">
      <c r="A89" s="2" t="s">
        <v>14</v>
      </c>
      <c r="B89" t="s">
        <v>25</v>
      </c>
      <c r="H89">
        <v>1</v>
      </c>
    </row>
    <row r="90" spans="1:8" x14ac:dyDescent="0.3">
      <c r="A90" s="2" t="s">
        <v>14</v>
      </c>
      <c r="B90" t="s">
        <v>26</v>
      </c>
      <c r="C90">
        <v>0.434975000098347</v>
      </c>
      <c r="E90">
        <v>1</v>
      </c>
    </row>
    <row r="91" spans="1:8" x14ac:dyDescent="0.3">
      <c r="A91" s="1" t="s">
        <v>15</v>
      </c>
      <c r="B91" t="s">
        <v>25</v>
      </c>
      <c r="H91">
        <v>1</v>
      </c>
    </row>
    <row r="92" spans="1:8" x14ac:dyDescent="0.3">
      <c r="A92" s="1" t="s">
        <v>16</v>
      </c>
      <c r="B92" t="s">
        <v>25</v>
      </c>
      <c r="H92">
        <v>1</v>
      </c>
    </row>
    <row r="93" spans="1:8" x14ac:dyDescent="0.3">
      <c r="A93" s="2" t="s">
        <v>17</v>
      </c>
      <c r="B93" t="s">
        <v>25</v>
      </c>
      <c r="H93">
        <v>1</v>
      </c>
    </row>
    <row r="94" spans="1:8" x14ac:dyDescent="0.3">
      <c r="A94" s="2" t="s">
        <v>17</v>
      </c>
      <c r="B94" t="s">
        <v>26</v>
      </c>
      <c r="C94">
        <v>0.42535550007596601</v>
      </c>
      <c r="E94">
        <v>1</v>
      </c>
    </row>
    <row r="95" spans="1:8" x14ac:dyDescent="0.3">
      <c r="A95" s="1" t="s">
        <v>18</v>
      </c>
      <c r="B95" t="s">
        <v>25</v>
      </c>
      <c r="H95">
        <v>1</v>
      </c>
    </row>
    <row r="96" spans="1:8" x14ac:dyDescent="0.3">
      <c r="A96" s="1" t="s">
        <v>1</v>
      </c>
      <c r="B96" t="s">
        <v>25</v>
      </c>
      <c r="H96">
        <v>1</v>
      </c>
    </row>
    <row r="97" spans="1:10" x14ac:dyDescent="0.3">
      <c r="A97" s="2" t="s">
        <v>2</v>
      </c>
      <c r="B97" t="s">
        <v>25</v>
      </c>
      <c r="H97">
        <v>1</v>
      </c>
    </row>
    <row r="98" spans="1:10" x14ac:dyDescent="0.3">
      <c r="A98" s="2" t="s">
        <v>2</v>
      </c>
      <c r="B98" t="s">
        <v>26</v>
      </c>
      <c r="C98">
        <v>0.45077480003237702</v>
      </c>
      <c r="E98">
        <v>1</v>
      </c>
    </row>
    <row r="99" spans="1:10" x14ac:dyDescent="0.3">
      <c r="A99" s="1" t="s">
        <v>4</v>
      </c>
      <c r="B99" t="s">
        <v>25</v>
      </c>
      <c r="H99">
        <v>1</v>
      </c>
    </row>
    <row r="100" spans="1:10" x14ac:dyDescent="0.3">
      <c r="A100" s="1" t="s">
        <v>5</v>
      </c>
      <c r="B100" t="s">
        <v>25</v>
      </c>
      <c r="H100">
        <v>1</v>
      </c>
    </row>
    <row r="101" spans="1:10" x14ac:dyDescent="0.3">
      <c r="A101" s="2" t="s">
        <v>20</v>
      </c>
      <c r="B101" t="s">
        <v>25</v>
      </c>
      <c r="H101">
        <v>1</v>
      </c>
    </row>
    <row r="102" spans="1:10" x14ac:dyDescent="0.3">
      <c r="A102" s="2" t="s">
        <v>20</v>
      </c>
      <c r="B102" t="s">
        <v>26</v>
      </c>
      <c r="C102">
        <v>0.41756520001217701</v>
      </c>
      <c r="E102">
        <v>1</v>
      </c>
    </row>
    <row r="103" spans="1:10" x14ac:dyDescent="0.3">
      <c r="E103">
        <f>SUM(E2:E102)</f>
        <v>26</v>
      </c>
      <c r="F103">
        <v>0</v>
      </c>
      <c r="G103">
        <v>0</v>
      </c>
      <c r="H103">
        <f>SUM(H2:H101)</f>
        <v>74</v>
      </c>
      <c r="J103">
        <f>SUM(E103:H103)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E60D-B10F-446C-8F12-62B75C417A9F}">
  <dimension ref="A2:B14"/>
  <sheetViews>
    <sheetView workbookViewId="0">
      <selection activeCell="A2" sqref="A2:B14"/>
    </sheetView>
  </sheetViews>
  <sheetFormatPr defaultRowHeight="14.4" x14ac:dyDescent="0.3"/>
  <cols>
    <col min="1" max="1" width="21.33203125" customWidth="1"/>
  </cols>
  <sheetData>
    <row r="2" spans="1:2" x14ac:dyDescent="0.3">
      <c r="A2" s="5" t="s">
        <v>38</v>
      </c>
      <c r="B2" s="5" t="s">
        <v>39</v>
      </c>
    </row>
    <row r="3" spans="1:2" x14ac:dyDescent="0.3">
      <c r="A3" s="4" t="s">
        <v>40</v>
      </c>
      <c r="B3" s="4">
        <v>84.61</v>
      </c>
    </row>
    <row r="4" spans="1:2" x14ac:dyDescent="0.3">
      <c r="A4" s="4" t="s">
        <v>41</v>
      </c>
      <c r="B4" s="4">
        <v>92.3</v>
      </c>
    </row>
    <row r="5" spans="1:2" x14ac:dyDescent="0.3">
      <c r="A5" s="4" t="s">
        <v>42</v>
      </c>
      <c r="B5" s="4">
        <v>100</v>
      </c>
    </row>
    <row r="6" spans="1:2" x14ac:dyDescent="0.3">
      <c r="A6" s="4" t="s">
        <v>43</v>
      </c>
      <c r="B6" s="4">
        <v>96.15</v>
      </c>
    </row>
    <row r="7" spans="1:2" x14ac:dyDescent="0.3">
      <c r="A7" s="4" t="s">
        <v>44</v>
      </c>
      <c r="B7" s="4">
        <v>100</v>
      </c>
    </row>
    <row r="9" spans="1:2" x14ac:dyDescent="0.3">
      <c r="A9" s="5" t="s">
        <v>38</v>
      </c>
      <c r="B9" s="5" t="s">
        <v>45</v>
      </c>
    </row>
    <row r="10" spans="1:2" x14ac:dyDescent="0.3">
      <c r="A10" s="4" t="s">
        <v>40</v>
      </c>
      <c r="B10" s="4">
        <v>555.59</v>
      </c>
    </row>
    <row r="11" spans="1:2" x14ac:dyDescent="0.3">
      <c r="A11" s="4" t="s">
        <v>41</v>
      </c>
      <c r="B11" s="4">
        <v>661.89</v>
      </c>
    </row>
    <row r="12" spans="1:2" x14ac:dyDescent="0.3">
      <c r="A12" s="4" t="s">
        <v>42</v>
      </c>
      <c r="B12" s="4">
        <v>514.47</v>
      </c>
    </row>
    <row r="13" spans="1:2" x14ac:dyDescent="0.3">
      <c r="A13" s="4" t="s">
        <v>43</v>
      </c>
      <c r="B13" s="4">
        <v>552.42999999999995</v>
      </c>
    </row>
    <row r="14" spans="1:2" x14ac:dyDescent="0.3">
      <c r="A14" s="4" t="s">
        <v>44</v>
      </c>
      <c r="B14" s="4">
        <v>447.96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 </vt:lpstr>
      <vt:lpstr>Participant 2 </vt:lpstr>
      <vt:lpstr>Participant 3</vt:lpstr>
      <vt:lpstr>Participant 4</vt:lpstr>
      <vt:lpstr>Participant 5</vt:lpstr>
      <vt:lpstr>Graphs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modi</dc:creator>
  <cp:lastModifiedBy>khanak modi</cp:lastModifiedBy>
  <dcterms:created xsi:type="dcterms:W3CDTF">2025-11-19T14:45:04Z</dcterms:created>
  <dcterms:modified xsi:type="dcterms:W3CDTF">2025-11-24T18:14:51Z</dcterms:modified>
</cp:coreProperties>
</file>