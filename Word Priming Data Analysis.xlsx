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731038c50e1671/Desktop/Word Priming/"/>
    </mc:Choice>
  </mc:AlternateContent>
  <xr:revisionPtr revIDLastSave="114" documentId="8_{40D992CA-3DFB-4D2C-A061-7E9BF1176FFD}" xr6:coauthVersionLast="47" xr6:coauthVersionMax="47" xr10:uidLastSave="{D0D07537-0478-4A01-A31E-BB1A788E1B42}"/>
  <bookViews>
    <workbookView xWindow="-108" yWindow="-108" windowWidth="23256" windowHeight="12456" xr2:uid="{C0C34817-9548-41DB-A2DA-3FE4C5277EF2}"/>
  </bookViews>
  <sheets>
    <sheet name="Sheet1" sheetId="1" r:id="rId1"/>
  </sheets>
  <definedNames>
    <definedName name="_xlnm._FilterDatabase" localSheetId="0" hidden="1">Sheet1!$A$45:$D$65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8" i="1" l="1" a="1"/>
  <c r="D68" i="1" s="1"/>
  <c r="G71" i="1" s="1" a="1"/>
  <c r="G71" i="1" s="1"/>
  <c r="D46" i="1" a="1"/>
  <c r="D46" i="1" s="1"/>
  <c r="G49" i="1" s="1" a="1"/>
  <c r="G49" i="1" s="1"/>
  <c r="D24" i="1" a="1"/>
  <c r="D24" i="1" s="1"/>
  <c r="D2" i="1" a="1"/>
  <c r="D2" i="1" s="1"/>
  <c r="G47" i="1" l="1"/>
  <c r="G69" i="1"/>
  <c r="G73" i="1" s="1"/>
  <c r="G51" i="1"/>
  <c r="G27" i="1" a="1"/>
  <c r="G27" i="1" s="1"/>
  <c r="G25" i="1"/>
  <c r="G29" i="1" l="1"/>
  <c r="G3" i="1"/>
  <c r="G5" i="1" a="1"/>
  <c r="G5" i="1" s="1"/>
  <c r="G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<sst xmlns="http://schemas.openxmlformats.org/spreadsheetml/2006/main" count="257" uniqueCount="55">
  <si>
    <t>Reference</t>
  </si>
  <si>
    <t>old_new</t>
  </si>
  <si>
    <t>Board</t>
  </si>
  <si>
    <t>old</t>
  </si>
  <si>
    <t>Poster</t>
  </si>
  <si>
    <t xml:space="preserve">Marble </t>
  </si>
  <si>
    <t>Cruise</t>
  </si>
  <si>
    <t>Case</t>
  </si>
  <si>
    <t xml:space="preserve">bottle </t>
  </si>
  <si>
    <t xml:space="preserve">new </t>
  </si>
  <si>
    <t xml:space="preserve">camera </t>
  </si>
  <si>
    <t>vase</t>
  </si>
  <si>
    <t>Laptop</t>
  </si>
  <si>
    <t>Police</t>
  </si>
  <si>
    <t>cushion</t>
  </si>
  <si>
    <t>table</t>
  </si>
  <si>
    <t>Chart</t>
  </si>
  <si>
    <t>mouse</t>
  </si>
  <si>
    <t xml:space="preserve">book </t>
  </si>
  <si>
    <t>Keys</t>
  </si>
  <si>
    <t>Pastry</t>
  </si>
  <si>
    <t>Tshirt</t>
  </si>
  <si>
    <t xml:space="preserve">pencil </t>
  </si>
  <si>
    <t>test_textbox.text</t>
  </si>
  <si>
    <t>poster</t>
  </si>
  <si>
    <t>cruise</t>
  </si>
  <si>
    <t>case</t>
  </si>
  <si>
    <t>bottle</t>
  </si>
  <si>
    <t>camera</t>
  </si>
  <si>
    <t>laptop</t>
  </si>
  <si>
    <t>police</t>
  </si>
  <si>
    <t>chart</t>
  </si>
  <si>
    <t>book</t>
  </si>
  <si>
    <t>keys</t>
  </si>
  <si>
    <t>pastery</t>
  </si>
  <si>
    <t>tshirt</t>
  </si>
  <si>
    <t>pencil</t>
  </si>
  <si>
    <t xml:space="preserve">correct </t>
  </si>
  <si>
    <t>chord</t>
  </si>
  <si>
    <t>Participant 1</t>
  </si>
  <si>
    <t>Proportion hit of primed words</t>
  </si>
  <si>
    <t>Proportion hit of non-primed words</t>
  </si>
  <si>
    <t>Priming score</t>
  </si>
  <si>
    <t>marble</t>
  </si>
  <si>
    <t xml:space="preserve">Phone </t>
  </si>
  <si>
    <t>pastry</t>
  </si>
  <si>
    <t>Participant 2</t>
  </si>
  <si>
    <t xml:space="preserve">Correct </t>
  </si>
  <si>
    <t>Participant 3</t>
  </si>
  <si>
    <t>Participant 4</t>
  </si>
  <si>
    <t>whole</t>
  </si>
  <si>
    <t>cool</t>
  </si>
  <si>
    <t>chant</t>
  </si>
  <si>
    <t xml:space="preserve">table
</t>
  </si>
  <si>
    <t>whose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</si>
</sst>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C28A-C3F2-4068-996F-682107FD18CC}">
  <dimension ref="A1:K87"/>
  <sheetViews>
    <sheetView tabSelected="1" topLeftCell="A77" workbookViewId="0">
      <selection activeCell="J74" sqref="J74"/>
    </sheetView>
  </sheetViews>
  <sheetFormatPr defaultRowHeight="14.4" x14ac:dyDescent="0.3"/>
  <cols>
    <col min="1" max="1" width="9.6640625" customWidth="1"/>
    <col min="2" max="2" width="9.77734375" customWidth="1"/>
    <col min="3" max="3" width="15.88671875" customWidth="1"/>
    <col min="6" max="6" width="32.21875" customWidth="1"/>
    <col min="11" max="11" width="15.33203125" customWidth="1"/>
  </cols>
  <sheetData>
    <row r="1" spans="1:11" x14ac:dyDescent="0.3">
      <c r="A1" s="1" t="s">
        <v>0</v>
      </c>
      <c r="B1" s="1" t="s">
        <v>1</v>
      </c>
      <c r="C1" s="1" t="s">
        <v>23</v>
      </c>
      <c r="D1" s="1" t="s">
        <v>37</v>
      </c>
      <c r="F1" s="2" t="s">
        <v>39</v>
      </c>
      <c r="G1" s="3"/>
    </row>
    <row r="2" spans="1:11" x14ac:dyDescent="0.3">
      <c r="A2" t="s">
        <v>2</v>
      </c>
      <c r="B2" t="s">
        <v>3</v>
      </c>
      <c r="C2" s="5" t="s">
        <v>38</v>
      </c>
      <c r="D2" s="5" cm="1">
        <f t="array" ref="D2:D21">IF(TRIM(A2:A21)=TRIM(C2:C21),1,0)</f>
        <v>0</v>
      </c>
      <c r="F2" s="3"/>
      <c r="G2" s="3"/>
      <c r="K2" s="5"/>
    </row>
    <row r="3" spans="1:11" x14ac:dyDescent="0.3">
      <c r="A3" t="s">
        <v>4</v>
      </c>
      <c r="B3" t="s">
        <v>3</v>
      </c>
      <c r="C3" t="s">
        <v>24</v>
      </c>
      <c r="D3">
        <v>1</v>
      </c>
      <c r="F3" s="4" t="s">
        <v>40</v>
      </c>
      <c r="G3" s="3">
        <f>AVERAGEIF(B2:B20,"old",D2:D20)</f>
        <v>0.66666666666666663</v>
      </c>
    </row>
    <row r="4" spans="1:11" x14ac:dyDescent="0.3">
      <c r="A4" t="s">
        <v>5</v>
      </c>
      <c r="B4" t="s">
        <v>3</v>
      </c>
      <c r="C4" t="s">
        <v>15</v>
      </c>
      <c r="D4">
        <v>0</v>
      </c>
      <c r="F4" s="3"/>
      <c r="G4" s="3"/>
    </row>
    <row r="5" spans="1:11" x14ac:dyDescent="0.3">
      <c r="A5" t="s">
        <v>6</v>
      </c>
      <c r="B5" t="s">
        <v>3</v>
      </c>
      <c r="C5" t="s">
        <v>25</v>
      </c>
      <c r="D5">
        <v>1</v>
      </c>
      <c r="F5" s="4" t="s">
        <v>41</v>
      </c>
      <c r="G5" s="3" cm="1">
        <f t="array" ref="G5">AVERAGE(IF(TRIM(B2:B20)="new",D2:D20))</f>
        <v>1</v>
      </c>
    </row>
    <row r="6" spans="1:11" x14ac:dyDescent="0.3">
      <c r="A6" t="s">
        <v>7</v>
      </c>
      <c r="B6" t="s">
        <v>3</v>
      </c>
      <c r="C6" t="s">
        <v>26</v>
      </c>
      <c r="D6">
        <v>1</v>
      </c>
      <c r="F6" s="3"/>
      <c r="G6" s="3"/>
    </row>
    <row r="7" spans="1:11" x14ac:dyDescent="0.3">
      <c r="A7" t="s">
        <v>8</v>
      </c>
      <c r="B7" t="s">
        <v>9</v>
      </c>
      <c r="C7" t="s">
        <v>27</v>
      </c>
      <c r="D7">
        <v>1</v>
      </c>
      <c r="F7" s="4" t="s">
        <v>42</v>
      </c>
      <c r="G7" s="3">
        <f>G3-G5</f>
        <v>-0.33333333333333337</v>
      </c>
    </row>
    <row r="8" spans="1:11" x14ac:dyDescent="0.3">
      <c r="A8" t="s">
        <v>10</v>
      </c>
      <c r="B8" t="s">
        <v>9</v>
      </c>
      <c r="C8" t="s">
        <v>28</v>
      </c>
      <c r="D8">
        <v>1</v>
      </c>
    </row>
    <row r="9" spans="1:11" x14ac:dyDescent="0.3">
      <c r="A9" t="s">
        <v>11</v>
      </c>
      <c r="B9" t="s">
        <v>9</v>
      </c>
      <c r="C9" t="s">
        <v>11</v>
      </c>
      <c r="D9">
        <v>1</v>
      </c>
    </row>
    <row r="10" spans="1:11" x14ac:dyDescent="0.3">
      <c r="A10" t="s">
        <v>12</v>
      </c>
      <c r="B10" t="s">
        <v>3</v>
      </c>
      <c r="C10" t="s">
        <v>29</v>
      </c>
      <c r="D10">
        <v>1</v>
      </c>
    </row>
    <row r="11" spans="1:11" x14ac:dyDescent="0.3">
      <c r="A11" t="s">
        <v>44</v>
      </c>
      <c r="B11" t="s">
        <v>3</v>
      </c>
      <c r="C11" t="s">
        <v>50</v>
      </c>
      <c r="D11">
        <v>0</v>
      </c>
    </row>
    <row r="12" spans="1:11" x14ac:dyDescent="0.3">
      <c r="A12" t="s">
        <v>13</v>
      </c>
      <c r="B12" t="s">
        <v>3</v>
      </c>
      <c r="C12" t="s">
        <v>30</v>
      </c>
      <c r="D12">
        <v>1</v>
      </c>
    </row>
    <row r="13" spans="1:11" x14ac:dyDescent="0.3">
      <c r="A13" t="s">
        <v>14</v>
      </c>
      <c r="B13" t="s">
        <v>3</v>
      </c>
      <c r="C13" t="s">
        <v>14</v>
      </c>
      <c r="D13">
        <v>1</v>
      </c>
    </row>
    <row r="14" spans="1:11" x14ac:dyDescent="0.3">
      <c r="A14" t="s">
        <v>15</v>
      </c>
      <c r="B14" t="s">
        <v>9</v>
      </c>
      <c r="C14" t="s">
        <v>15</v>
      </c>
      <c r="D14">
        <v>1</v>
      </c>
    </row>
    <row r="15" spans="1:11" x14ac:dyDescent="0.3">
      <c r="A15" t="s">
        <v>16</v>
      </c>
      <c r="B15" t="s">
        <v>3</v>
      </c>
      <c r="C15" t="s">
        <v>31</v>
      </c>
      <c r="D15">
        <v>1</v>
      </c>
    </row>
    <row r="16" spans="1:11" x14ac:dyDescent="0.3">
      <c r="A16" t="s">
        <v>17</v>
      </c>
      <c r="B16" t="s">
        <v>3</v>
      </c>
      <c r="D16">
        <v>0</v>
      </c>
    </row>
    <row r="17" spans="1:7" x14ac:dyDescent="0.3">
      <c r="A17" t="s">
        <v>18</v>
      </c>
      <c r="B17" t="s">
        <v>3</v>
      </c>
      <c r="C17" t="s">
        <v>32</v>
      </c>
      <c r="D17">
        <v>1</v>
      </c>
    </row>
    <row r="18" spans="1:7" x14ac:dyDescent="0.3">
      <c r="A18" t="s">
        <v>19</v>
      </c>
      <c r="B18" t="s">
        <v>3</v>
      </c>
      <c r="C18" t="s">
        <v>33</v>
      </c>
      <c r="D18">
        <v>1</v>
      </c>
    </row>
    <row r="19" spans="1:7" x14ac:dyDescent="0.3">
      <c r="A19" t="s">
        <v>20</v>
      </c>
      <c r="B19" t="s">
        <v>3</v>
      </c>
      <c r="C19" t="s">
        <v>34</v>
      </c>
      <c r="D19">
        <v>0</v>
      </c>
    </row>
    <row r="20" spans="1:7" x14ac:dyDescent="0.3">
      <c r="A20" t="s">
        <v>21</v>
      </c>
      <c r="B20" t="s">
        <v>3</v>
      </c>
      <c r="C20" t="s">
        <v>35</v>
      </c>
      <c r="D20">
        <v>1</v>
      </c>
    </row>
    <row r="21" spans="1:7" x14ac:dyDescent="0.3">
      <c r="A21" t="s">
        <v>22</v>
      </c>
      <c r="B21" t="s">
        <v>9</v>
      </c>
      <c r="C21" t="s">
        <v>36</v>
      </c>
      <c r="D21">
        <v>1</v>
      </c>
    </row>
    <row r="23" spans="1:7" x14ac:dyDescent="0.3">
      <c r="A23" s="6" t="s">
        <v>0</v>
      </c>
      <c r="B23" s="6" t="s">
        <v>1</v>
      </c>
      <c r="C23" s="6" t="s">
        <v>23</v>
      </c>
      <c r="D23" s="6" t="s">
        <v>37</v>
      </c>
      <c r="F23" s="2" t="s">
        <v>46</v>
      </c>
      <c r="G23" s="3"/>
    </row>
    <row r="24" spans="1:7" x14ac:dyDescent="0.3">
      <c r="A24" t="s">
        <v>19</v>
      </c>
      <c r="B24" t="s">
        <v>3</v>
      </c>
      <c r="C24" s="5" t="s">
        <v>33</v>
      </c>
      <c r="D24" cm="1">
        <f t="array" ref="D24:D43">IF(TRIM(A24:A43)=TRIM(C24:C43),1,0)</f>
        <v>1</v>
      </c>
      <c r="F24" s="3"/>
      <c r="G24" s="3"/>
    </row>
    <row r="25" spans="1:7" x14ac:dyDescent="0.3">
      <c r="A25" t="s">
        <v>22</v>
      </c>
      <c r="B25" t="s">
        <v>9</v>
      </c>
      <c r="C25" t="s">
        <v>36</v>
      </c>
      <c r="D25">
        <v>1</v>
      </c>
      <c r="F25" s="4" t="s">
        <v>40</v>
      </c>
      <c r="G25" s="3">
        <f>AVERAGEIF(B24:B43,"old",D24:D43)</f>
        <v>0.66666666666666663</v>
      </c>
    </row>
    <row r="26" spans="1:7" x14ac:dyDescent="0.3">
      <c r="A26" t="s">
        <v>6</v>
      </c>
      <c r="B26" t="s">
        <v>3</v>
      </c>
      <c r="C26" t="s">
        <v>25</v>
      </c>
      <c r="D26">
        <v>1</v>
      </c>
      <c r="F26" s="3"/>
      <c r="G26" s="3"/>
    </row>
    <row r="27" spans="1:7" x14ac:dyDescent="0.3">
      <c r="A27" t="s">
        <v>21</v>
      </c>
      <c r="B27" t="s">
        <v>3</v>
      </c>
      <c r="C27" t="s">
        <v>35</v>
      </c>
      <c r="D27">
        <v>1</v>
      </c>
      <c r="F27" s="4" t="s">
        <v>41</v>
      </c>
      <c r="G27" s="3" cm="1">
        <f t="array" ref="G27">AVERAGE(IF(TRIM(B24:B43)="new",D24:D43))</f>
        <v>1</v>
      </c>
    </row>
    <row r="28" spans="1:7" x14ac:dyDescent="0.3">
      <c r="A28" t="s">
        <v>12</v>
      </c>
      <c r="B28" t="s">
        <v>3</v>
      </c>
      <c r="C28" t="s">
        <v>29</v>
      </c>
      <c r="D28">
        <v>1</v>
      </c>
      <c r="F28" s="3"/>
      <c r="G28" s="3"/>
    </row>
    <row r="29" spans="1:7" x14ac:dyDescent="0.3">
      <c r="A29" t="s">
        <v>5</v>
      </c>
      <c r="B29" t="s">
        <v>3</v>
      </c>
      <c r="C29" t="s">
        <v>43</v>
      </c>
      <c r="D29">
        <v>1</v>
      </c>
      <c r="F29" s="4" t="s">
        <v>42</v>
      </c>
      <c r="G29" s="3">
        <f>G25-G27</f>
        <v>-0.33333333333333337</v>
      </c>
    </row>
    <row r="30" spans="1:7" x14ac:dyDescent="0.3">
      <c r="A30" t="s">
        <v>44</v>
      </c>
      <c r="B30" t="s">
        <v>3</v>
      </c>
      <c r="D30">
        <v>0</v>
      </c>
    </row>
    <row r="31" spans="1:7" x14ac:dyDescent="0.3">
      <c r="A31" t="s">
        <v>15</v>
      </c>
      <c r="B31" t="s">
        <v>9</v>
      </c>
      <c r="C31" t="s">
        <v>15</v>
      </c>
      <c r="D31">
        <v>1</v>
      </c>
    </row>
    <row r="32" spans="1:7" x14ac:dyDescent="0.3">
      <c r="A32" t="s">
        <v>18</v>
      </c>
      <c r="B32" t="s">
        <v>3</v>
      </c>
      <c r="C32" t="s">
        <v>51</v>
      </c>
      <c r="D32">
        <v>0</v>
      </c>
    </row>
    <row r="33" spans="1:7" x14ac:dyDescent="0.3">
      <c r="A33" t="s">
        <v>4</v>
      </c>
      <c r="B33" t="s">
        <v>3</v>
      </c>
      <c r="C33" t="s">
        <v>45</v>
      </c>
      <c r="D33">
        <v>0</v>
      </c>
    </row>
    <row r="34" spans="1:7" x14ac:dyDescent="0.3">
      <c r="A34" t="s">
        <v>17</v>
      </c>
      <c r="B34" t="s">
        <v>3</v>
      </c>
      <c r="C34" t="s">
        <v>17</v>
      </c>
      <c r="D34">
        <v>1</v>
      </c>
    </row>
    <row r="35" spans="1:7" x14ac:dyDescent="0.3">
      <c r="A35" t="s">
        <v>16</v>
      </c>
      <c r="B35" t="s">
        <v>3</v>
      </c>
      <c r="C35" t="s">
        <v>52</v>
      </c>
      <c r="D35">
        <v>0</v>
      </c>
    </row>
    <row r="36" spans="1:7" x14ac:dyDescent="0.3">
      <c r="A36" t="s">
        <v>8</v>
      </c>
      <c r="B36" t="s">
        <v>9</v>
      </c>
      <c r="C36" t="s">
        <v>27</v>
      </c>
      <c r="D36">
        <v>1</v>
      </c>
    </row>
    <row r="37" spans="1:7" x14ac:dyDescent="0.3">
      <c r="A37" t="s">
        <v>20</v>
      </c>
      <c r="B37" t="s">
        <v>3</v>
      </c>
      <c r="C37" t="s">
        <v>45</v>
      </c>
      <c r="D37">
        <v>1</v>
      </c>
    </row>
    <row r="38" spans="1:7" x14ac:dyDescent="0.3">
      <c r="A38" t="s">
        <v>7</v>
      </c>
      <c r="B38" t="s">
        <v>3</v>
      </c>
      <c r="C38" t="s">
        <v>26</v>
      </c>
      <c r="D38">
        <v>1</v>
      </c>
    </row>
    <row r="39" spans="1:7" x14ac:dyDescent="0.3">
      <c r="A39" t="s">
        <v>13</v>
      </c>
      <c r="B39" t="s">
        <v>3</v>
      </c>
      <c r="C39" t="s">
        <v>30</v>
      </c>
      <c r="D39">
        <v>1</v>
      </c>
    </row>
    <row r="40" spans="1:7" x14ac:dyDescent="0.3">
      <c r="A40" t="s">
        <v>11</v>
      </c>
      <c r="B40" t="s">
        <v>9</v>
      </c>
      <c r="C40" t="s">
        <v>11</v>
      </c>
      <c r="D40">
        <v>1</v>
      </c>
    </row>
    <row r="41" spans="1:7" x14ac:dyDescent="0.3">
      <c r="A41" t="s">
        <v>14</v>
      </c>
      <c r="B41" t="s">
        <v>3</v>
      </c>
      <c r="C41" t="s">
        <v>14</v>
      </c>
      <c r="D41">
        <v>1</v>
      </c>
    </row>
    <row r="42" spans="1:7" x14ac:dyDescent="0.3">
      <c r="A42" t="s">
        <v>10</v>
      </c>
      <c r="B42" t="s">
        <v>9</v>
      </c>
      <c r="C42" t="s">
        <v>28</v>
      </c>
      <c r="D42">
        <v>1</v>
      </c>
    </row>
    <row r="43" spans="1:7" x14ac:dyDescent="0.3">
      <c r="A43" t="s">
        <v>2</v>
      </c>
      <c r="B43" t="s">
        <v>3</v>
      </c>
      <c r="C43" t="s">
        <v>38</v>
      </c>
      <c r="D43">
        <v>0</v>
      </c>
    </row>
    <row r="45" spans="1:7" x14ac:dyDescent="0.3">
      <c r="A45" s="6" t="s">
        <v>0</v>
      </c>
      <c r="B45" s="6" t="s">
        <v>1</v>
      </c>
      <c r="C45" s="6" t="s">
        <v>23</v>
      </c>
      <c r="D45" s="6" t="s">
        <v>47</v>
      </c>
      <c r="F45" s="2" t="s">
        <v>48</v>
      </c>
      <c r="G45" s="3"/>
    </row>
    <row r="46" spans="1:7" x14ac:dyDescent="0.3">
      <c r="A46" t="s">
        <v>15</v>
      </c>
      <c r="B46" t="s">
        <v>9</v>
      </c>
      <c r="C46" s="5" t="s">
        <v>53</v>
      </c>
      <c r="D46" cm="1">
        <f t="array" ref="D46:D65">IF(TRIM(A46:A65)=TRIM(C46:C65),1,0)</f>
        <v>0</v>
      </c>
      <c r="F46" s="3"/>
      <c r="G46" s="3"/>
    </row>
    <row r="47" spans="1:7" x14ac:dyDescent="0.3">
      <c r="A47" t="s">
        <v>13</v>
      </c>
      <c r="B47" t="s">
        <v>3</v>
      </c>
      <c r="C47" t="s">
        <v>30</v>
      </c>
      <c r="D47">
        <v>1</v>
      </c>
      <c r="F47" s="4" t="s">
        <v>40</v>
      </c>
      <c r="G47" s="3">
        <f>AVERAGEIF(B46:B65,"old",_xlfn.ANCHORARRAY(D46))</f>
        <v>0.66666666666666663</v>
      </c>
    </row>
    <row r="48" spans="1:7" x14ac:dyDescent="0.3">
      <c r="A48" t="s">
        <v>21</v>
      </c>
      <c r="B48" t="s">
        <v>3</v>
      </c>
      <c r="C48" t="s">
        <v>35</v>
      </c>
      <c r="D48">
        <v>1</v>
      </c>
      <c r="F48" s="3"/>
      <c r="G48" s="3"/>
    </row>
    <row r="49" spans="1:7" x14ac:dyDescent="0.3">
      <c r="A49" t="s">
        <v>8</v>
      </c>
      <c r="B49" t="s">
        <v>9</v>
      </c>
      <c r="C49" t="s">
        <v>27</v>
      </c>
      <c r="D49">
        <v>1</v>
      </c>
      <c r="F49" s="4" t="s">
        <v>41</v>
      </c>
      <c r="G49" s="3" cm="1">
        <f t="array" ref="G49">AVERAGE(IF(TRIM(B46:B64)="new",D46:D64))</f>
        <v>0.8</v>
      </c>
    </row>
    <row r="50" spans="1:7" x14ac:dyDescent="0.3">
      <c r="A50" t="s">
        <v>12</v>
      </c>
      <c r="B50" t="s">
        <v>3</v>
      </c>
      <c r="C50" t="s">
        <v>29</v>
      </c>
      <c r="D50">
        <v>1</v>
      </c>
      <c r="F50" s="3"/>
      <c r="G50" s="3"/>
    </row>
    <row r="51" spans="1:7" x14ac:dyDescent="0.3">
      <c r="A51" t="s">
        <v>10</v>
      </c>
      <c r="B51" t="s">
        <v>9</v>
      </c>
      <c r="C51" t="s">
        <v>28</v>
      </c>
      <c r="D51">
        <v>1</v>
      </c>
      <c r="F51" s="4" t="s">
        <v>42</v>
      </c>
      <c r="G51" s="3">
        <f>G47-G49</f>
        <v>-0.13333333333333341</v>
      </c>
    </row>
    <row r="52" spans="1:7" x14ac:dyDescent="0.3">
      <c r="A52" t="s">
        <v>7</v>
      </c>
      <c r="B52" t="s">
        <v>3</v>
      </c>
      <c r="C52" t="s">
        <v>26</v>
      </c>
      <c r="D52">
        <v>1</v>
      </c>
    </row>
    <row r="53" spans="1:7" x14ac:dyDescent="0.3">
      <c r="A53" t="s">
        <v>5</v>
      </c>
      <c r="B53" t="s">
        <v>3</v>
      </c>
      <c r="D53">
        <v>0</v>
      </c>
    </row>
    <row r="54" spans="1:7" x14ac:dyDescent="0.3">
      <c r="A54" t="s">
        <v>44</v>
      </c>
      <c r="B54" t="s">
        <v>3</v>
      </c>
      <c r="C54" t="s">
        <v>54</v>
      </c>
      <c r="D54">
        <v>0</v>
      </c>
    </row>
    <row r="55" spans="1:7" x14ac:dyDescent="0.3">
      <c r="A55" t="s">
        <v>14</v>
      </c>
      <c r="B55" t="s">
        <v>3</v>
      </c>
      <c r="C55" t="s">
        <v>14</v>
      </c>
      <c r="D55">
        <v>1</v>
      </c>
    </row>
    <row r="56" spans="1:7" x14ac:dyDescent="0.3">
      <c r="A56" t="s">
        <v>18</v>
      </c>
      <c r="B56" t="s">
        <v>3</v>
      </c>
      <c r="C56" t="s">
        <v>32</v>
      </c>
      <c r="D56">
        <v>1</v>
      </c>
    </row>
    <row r="57" spans="1:7" x14ac:dyDescent="0.3">
      <c r="A57" t="s">
        <v>19</v>
      </c>
      <c r="B57" t="s">
        <v>3</v>
      </c>
      <c r="D57">
        <v>0</v>
      </c>
    </row>
    <row r="58" spans="1:7" x14ac:dyDescent="0.3">
      <c r="A58" t="s">
        <v>2</v>
      </c>
      <c r="B58" t="s">
        <v>3</v>
      </c>
      <c r="C58" t="s">
        <v>38</v>
      </c>
      <c r="D58">
        <v>0</v>
      </c>
    </row>
    <row r="59" spans="1:7" x14ac:dyDescent="0.3">
      <c r="A59" t="s">
        <v>4</v>
      </c>
      <c r="B59" t="s">
        <v>3</v>
      </c>
      <c r="C59" t="s">
        <v>24</v>
      </c>
      <c r="D59">
        <v>1</v>
      </c>
    </row>
    <row r="60" spans="1:7" x14ac:dyDescent="0.3">
      <c r="A60" t="s">
        <v>22</v>
      </c>
      <c r="B60" t="s">
        <v>9</v>
      </c>
      <c r="C60" t="s">
        <v>36</v>
      </c>
      <c r="D60">
        <v>1</v>
      </c>
    </row>
    <row r="61" spans="1:7" x14ac:dyDescent="0.3">
      <c r="A61" t="s">
        <v>16</v>
      </c>
      <c r="B61" t="s">
        <v>3</v>
      </c>
      <c r="C61" t="s">
        <v>31</v>
      </c>
      <c r="D61">
        <v>1</v>
      </c>
    </row>
    <row r="62" spans="1:7" x14ac:dyDescent="0.3">
      <c r="A62" t="s">
        <v>6</v>
      </c>
      <c r="B62" t="s">
        <v>3</v>
      </c>
      <c r="D62">
        <v>0</v>
      </c>
    </row>
    <row r="63" spans="1:7" x14ac:dyDescent="0.3">
      <c r="A63" t="s">
        <v>20</v>
      </c>
      <c r="B63" t="s">
        <v>3</v>
      </c>
      <c r="C63" t="s">
        <v>45</v>
      </c>
      <c r="D63">
        <v>1</v>
      </c>
    </row>
    <row r="64" spans="1:7" x14ac:dyDescent="0.3">
      <c r="A64" t="s">
        <v>11</v>
      </c>
      <c r="B64" t="s">
        <v>9</v>
      </c>
      <c r="C64" t="s">
        <v>11</v>
      </c>
      <c r="D64">
        <v>1</v>
      </c>
    </row>
    <row r="65" spans="1:7" x14ac:dyDescent="0.3">
      <c r="A65" t="s">
        <v>17</v>
      </c>
      <c r="B65" t="s">
        <v>3</v>
      </c>
      <c r="C65" t="s">
        <v>17</v>
      </c>
      <c r="D65">
        <v>1</v>
      </c>
    </row>
    <row r="67" spans="1:7" x14ac:dyDescent="0.3">
      <c r="A67" s="6" t="s">
        <v>0</v>
      </c>
      <c r="B67" s="6" t="s">
        <v>1</v>
      </c>
      <c r="C67" s="6" t="s">
        <v>23</v>
      </c>
      <c r="D67" s="6" t="s">
        <v>47</v>
      </c>
      <c r="F67" s="2" t="s">
        <v>49</v>
      </c>
      <c r="G67" s="3"/>
    </row>
    <row r="68" spans="1:7" x14ac:dyDescent="0.3">
      <c r="A68" t="s">
        <v>5</v>
      </c>
      <c r="B68" t="s">
        <v>3</v>
      </c>
      <c r="C68" t="s">
        <v>43</v>
      </c>
      <c r="D68" cm="1">
        <f t="array" ref="D68:D87">IF(TRIM(A68:A87)=TRIM(C68:C87),1,0)</f>
        <v>1</v>
      </c>
      <c r="F68" s="3"/>
      <c r="G68" s="3"/>
    </row>
    <row r="69" spans="1:7" x14ac:dyDescent="0.3">
      <c r="A69" t="s">
        <v>10</v>
      </c>
      <c r="B69" t="s">
        <v>9</v>
      </c>
      <c r="D69">
        <v>0</v>
      </c>
      <c r="F69" s="4" t="s">
        <v>40</v>
      </c>
      <c r="G69" s="3">
        <f>AVERAGEIF(B68:B87,"old",_xlfn.ANCHORARRAY(D68))</f>
        <v>0.46666666666666667</v>
      </c>
    </row>
    <row r="70" spans="1:7" x14ac:dyDescent="0.3">
      <c r="A70" t="s">
        <v>8</v>
      </c>
      <c r="B70" t="s">
        <v>9</v>
      </c>
      <c r="D70">
        <v>0</v>
      </c>
      <c r="F70" s="3"/>
      <c r="G70" s="3"/>
    </row>
    <row r="71" spans="1:7" x14ac:dyDescent="0.3">
      <c r="A71" t="s">
        <v>19</v>
      </c>
      <c r="B71" t="s">
        <v>3</v>
      </c>
      <c r="C71" t="s">
        <v>33</v>
      </c>
      <c r="D71">
        <v>1</v>
      </c>
      <c r="F71" s="4" t="s">
        <v>41</v>
      </c>
      <c r="G71" s="3" cm="1">
        <f t="array" ref="G71">AVERAGE(IF(TRIM(B68:B86)="new",D68:D86))</f>
        <v>0.4</v>
      </c>
    </row>
    <row r="72" spans="1:7" x14ac:dyDescent="0.3">
      <c r="A72" t="s">
        <v>12</v>
      </c>
      <c r="B72" t="s">
        <v>3</v>
      </c>
      <c r="C72" t="s">
        <v>29</v>
      </c>
      <c r="D72">
        <v>1</v>
      </c>
      <c r="F72" s="3"/>
      <c r="G72" s="3"/>
    </row>
    <row r="73" spans="1:7" x14ac:dyDescent="0.3">
      <c r="A73" t="s">
        <v>20</v>
      </c>
      <c r="B73" t="s">
        <v>3</v>
      </c>
      <c r="C73" t="s">
        <v>45</v>
      </c>
      <c r="D73">
        <v>1</v>
      </c>
      <c r="F73" s="4" t="s">
        <v>42</v>
      </c>
      <c r="G73" s="3">
        <f>G69-G71</f>
        <v>6.6666666666666652E-2</v>
      </c>
    </row>
    <row r="74" spans="1:7" x14ac:dyDescent="0.3">
      <c r="A74" t="s">
        <v>7</v>
      </c>
      <c r="B74" t="s">
        <v>3</v>
      </c>
      <c r="D74">
        <v>0</v>
      </c>
    </row>
    <row r="75" spans="1:7" x14ac:dyDescent="0.3">
      <c r="A75" t="s">
        <v>2</v>
      </c>
      <c r="B75" t="s">
        <v>3</v>
      </c>
      <c r="C75" t="s">
        <v>38</v>
      </c>
      <c r="D75">
        <v>0</v>
      </c>
    </row>
    <row r="76" spans="1:7" x14ac:dyDescent="0.3">
      <c r="A76" t="s">
        <v>18</v>
      </c>
      <c r="B76" t="s">
        <v>3</v>
      </c>
      <c r="D76">
        <v>0</v>
      </c>
    </row>
    <row r="77" spans="1:7" x14ac:dyDescent="0.3">
      <c r="A77" t="s">
        <v>13</v>
      </c>
      <c r="B77" t="s">
        <v>3</v>
      </c>
      <c r="C77" t="s">
        <v>30</v>
      </c>
      <c r="D77">
        <v>1</v>
      </c>
    </row>
    <row r="78" spans="1:7" x14ac:dyDescent="0.3">
      <c r="A78" t="s">
        <v>15</v>
      </c>
      <c r="B78" t="s">
        <v>9</v>
      </c>
      <c r="D78">
        <v>0</v>
      </c>
    </row>
    <row r="79" spans="1:7" x14ac:dyDescent="0.3">
      <c r="A79" t="s">
        <v>14</v>
      </c>
      <c r="B79" t="s">
        <v>3</v>
      </c>
      <c r="D79">
        <v>0</v>
      </c>
    </row>
    <row r="80" spans="1:7" x14ac:dyDescent="0.3">
      <c r="A80" t="s">
        <v>6</v>
      </c>
      <c r="B80" t="s">
        <v>3</v>
      </c>
      <c r="C80" t="s">
        <v>25</v>
      </c>
      <c r="D80">
        <v>1</v>
      </c>
    </row>
    <row r="81" spans="1:4" x14ac:dyDescent="0.3">
      <c r="A81" t="s">
        <v>16</v>
      </c>
      <c r="B81" t="s">
        <v>3</v>
      </c>
      <c r="D81">
        <v>0</v>
      </c>
    </row>
    <row r="82" spans="1:4" x14ac:dyDescent="0.3">
      <c r="A82" t="s">
        <v>44</v>
      </c>
      <c r="B82" t="s">
        <v>3</v>
      </c>
      <c r="D82">
        <v>0</v>
      </c>
    </row>
    <row r="83" spans="1:4" x14ac:dyDescent="0.3">
      <c r="A83" t="s">
        <v>22</v>
      </c>
      <c r="B83" t="s">
        <v>9</v>
      </c>
      <c r="C83" t="s">
        <v>36</v>
      </c>
      <c r="D83">
        <v>1</v>
      </c>
    </row>
    <row r="84" spans="1:4" x14ac:dyDescent="0.3">
      <c r="A84" t="s">
        <v>21</v>
      </c>
      <c r="B84" t="s">
        <v>3</v>
      </c>
      <c r="C84" t="s">
        <v>35</v>
      </c>
      <c r="D84">
        <v>1</v>
      </c>
    </row>
    <row r="85" spans="1:4" x14ac:dyDescent="0.3">
      <c r="A85" t="s">
        <v>11</v>
      </c>
      <c r="B85" t="s">
        <v>9</v>
      </c>
      <c r="C85" t="s">
        <v>11</v>
      </c>
      <c r="D85">
        <v>1</v>
      </c>
    </row>
    <row r="86" spans="1:4" x14ac:dyDescent="0.3">
      <c r="A86" t="s">
        <v>4</v>
      </c>
      <c r="B86" t="s">
        <v>3</v>
      </c>
      <c r="D86">
        <v>0</v>
      </c>
    </row>
    <row r="87" spans="1:4" x14ac:dyDescent="0.3">
      <c r="A87" t="s">
        <v>17</v>
      </c>
      <c r="B87" t="s">
        <v>3</v>
      </c>
      <c r="D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khanak modi</dc:creator>
  <cp:lastModifiedBy>khanak modi</cp:lastModifiedBy>
  <dcterms:created xsi:type="dcterms:W3CDTF">2025-10-16T04:58:10Z</dcterms:created>
  <dcterms:modified xsi:type="dcterms:W3CDTF">2025-10-16T22:46:06Z</dcterms:modified>
</cp:coreProperties>
</file>